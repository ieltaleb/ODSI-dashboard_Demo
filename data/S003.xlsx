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dsi2005-my.sharepoint.com/personal/ibrahim_eltaleb_odsi-energy_com/Documents/ODSI_Desktop/Python/Stramlit/Dash_ODSI/data/"/>
    </mc:Choice>
  </mc:AlternateContent>
  <xr:revisionPtr revIDLastSave="41" documentId="8_{0A039515-FE95-4DE7-8FAC-2FC41D3A2F70}" xr6:coauthVersionLast="47" xr6:coauthVersionMax="47" xr10:uidLastSave="{B52D4E2D-BACC-4752-B5D1-47A71AAD2357}"/>
  <bookViews>
    <workbookView xWindow="-108" yWindow="-108" windowWidth="30936" windowHeight="18696" xr2:uid="{181B259E-6879-4259-B043-0BB521B21892}"/>
  </bookViews>
  <sheets>
    <sheet name="Production History" sheetId="5" r:id="rId1"/>
    <sheet name="Volume tracking" sheetId="1" r:id="rId2"/>
    <sheet name="PTA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4" l="1"/>
  <c r="V5" i="4"/>
  <c r="V6" i="4"/>
  <c r="V7" i="4"/>
  <c r="V8" i="4"/>
  <c r="V9" i="4"/>
  <c r="V10" i="4"/>
  <c r="V11" i="4"/>
  <c r="V12" i="4"/>
  <c r="V13" i="4"/>
  <c r="V3" i="4"/>
  <c r="U13" i="4"/>
  <c r="U12" i="4"/>
  <c r="U11" i="4"/>
  <c r="U10" i="4"/>
  <c r="U9" i="4"/>
  <c r="U8" i="4"/>
  <c r="U7" i="4"/>
</calcChain>
</file>

<file path=xl/sharedStrings.xml><?xml version="1.0" encoding="utf-8"?>
<sst xmlns="http://schemas.openxmlformats.org/spreadsheetml/2006/main" count="144" uniqueCount="108">
  <si>
    <t>Mobile</t>
  </si>
  <si>
    <t>Connected</t>
  </si>
  <si>
    <t>Expansion</t>
  </si>
  <si>
    <t>Displacement</t>
  </si>
  <si>
    <t xml:space="preserve">Start Date </t>
  </si>
  <si>
    <t>Dp/Dt Slope</t>
  </si>
  <si>
    <t>TTA Slope</t>
  </si>
  <si>
    <t xml:space="preserve">Q avg </t>
  </si>
  <si>
    <t>P. res/Pavg</t>
  </si>
  <si>
    <t>Co</t>
  </si>
  <si>
    <t xml:space="preserve">Ct </t>
  </si>
  <si>
    <t>Np</t>
  </si>
  <si>
    <t>TTA Vc</t>
  </si>
  <si>
    <t>TTA Sld</t>
  </si>
  <si>
    <t>Vc</t>
  </si>
  <si>
    <t>VSld</t>
  </si>
  <si>
    <t>mm/dd/yy</t>
  </si>
  <si>
    <t>Psi/D</t>
  </si>
  <si>
    <t>Psi/(MMSTB/D)</t>
  </si>
  <si>
    <t>STB/D</t>
  </si>
  <si>
    <t>Psia</t>
  </si>
  <si>
    <t>Sips</t>
  </si>
  <si>
    <t>MMSTB</t>
  </si>
  <si>
    <t>aOutDatumP</t>
  </si>
  <si>
    <t>aOutQgas</t>
  </si>
  <si>
    <t>aOutQoil</t>
  </si>
  <si>
    <t>aOutQw</t>
  </si>
  <si>
    <t>aOutDailyGP</t>
  </si>
  <si>
    <t>aOutDailyNP</t>
  </si>
  <si>
    <t>aOutDailyWP</t>
  </si>
  <si>
    <t>aOutGP</t>
  </si>
  <si>
    <t>aOutNP</t>
  </si>
  <si>
    <t>aOutWP</t>
  </si>
  <si>
    <t>PSIA</t>
  </si>
  <si>
    <t>DEGF</t>
  </si>
  <si>
    <t>MCF/D</t>
  </si>
  <si>
    <t>BBL/D</t>
  </si>
  <si>
    <t>%</t>
  </si>
  <si>
    <t>MCF</t>
  </si>
  <si>
    <t>BBL</t>
  </si>
  <si>
    <t>BCF</t>
  </si>
  <si>
    <t>Start Time</t>
  </si>
  <si>
    <t xml:space="preserve"> End Time</t>
  </si>
  <si>
    <t xml:space="preserve"> Test Length</t>
  </si>
  <si>
    <t xml:space="preserve"> Type</t>
  </si>
  <si>
    <t xml:space="preserve"> WHPi</t>
  </si>
  <si>
    <t xml:space="preserve"> WHPf</t>
  </si>
  <si>
    <t xml:space="preserve"> DHGPi</t>
  </si>
  <si>
    <t>DHGPf</t>
  </si>
  <si>
    <t xml:space="preserve"> BHPi</t>
  </si>
  <si>
    <t xml:space="preserve"> BHPf</t>
  </si>
  <si>
    <t>Qoi</t>
  </si>
  <si>
    <t xml:space="preserve"> Qo</t>
  </si>
  <si>
    <t>Perm</t>
  </si>
  <si>
    <t>Total Perm</t>
  </si>
  <si>
    <t xml:space="preserve"> Skin</t>
  </si>
  <si>
    <t xml:space="preserve"> DP Skin</t>
  </si>
  <si>
    <t>P1HR</t>
  </si>
  <si>
    <t>PStar</t>
  </si>
  <si>
    <t xml:space="preserve"> Comp Eff</t>
  </si>
  <si>
    <t>PI</t>
  </si>
  <si>
    <t xml:space="preserve"> DPs/Q</t>
  </si>
  <si>
    <t>Perm-Thickness</t>
  </si>
  <si>
    <t xml:space="preserve"> kh/mu</t>
  </si>
  <si>
    <t>wc%</t>
  </si>
  <si>
    <t>ddMMMyyyy</t>
  </si>
  <si>
    <t>ddMMMyyyy HH:mm:ss</t>
  </si>
  <si>
    <t>HOURS</t>
  </si>
  <si>
    <t>md</t>
  </si>
  <si>
    <t>PSI</t>
  </si>
  <si>
    <t>STB/Psi</t>
  </si>
  <si>
    <t>PSI/(STB/D)</t>
  </si>
  <si>
    <t>md-ft</t>
  </si>
  <si>
    <t>md-ft/cp</t>
  </si>
  <si>
    <t>PBU</t>
  </si>
  <si>
    <t>MM/dd/yyyy HH:mm:ss</t>
  </si>
  <si>
    <t>S2/T1</t>
  </si>
  <si>
    <t>S3/T2</t>
  </si>
  <si>
    <t>S4/T3</t>
  </si>
  <si>
    <t>S5/T4</t>
  </si>
  <si>
    <t>S6/T5</t>
  </si>
  <si>
    <t>S7/T5</t>
  </si>
  <si>
    <t>S8/T5</t>
  </si>
  <si>
    <t>S9/T5</t>
  </si>
  <si>
    <t>S11/T6</t>
  </si>
  <si>
    <t>S12/T7</t>
  </si>
  <si>
    <t>S13/T8</t>
  </si>
  <si>
    <t>S14/T9</t>
  </si>
  <si>
    <t>S15/T10</t>
  </si>
  <si>
    <t>S17/T12</t>
  </si>
  <si>
    <t>S19/T13</t>
  </si>
  <si>
    <t>S20T13</t>
  </si>
  <si>
    <t>S21/T14</t>
  </si>
  <si>
    <t>S28/T17</t>
  </si>
  <si>
    <t>S30/T19</t>
  </si>
  <si>
    <t>S31/T20</t>
  </si>
  <si>
    <t>S32/T21</t>
  </si>
  <si>
    <t>S33/T22</t>
  </si>
  <si>
    <t>S34/T22</t>
  </si>
  <si>
    <t>S36/T23</t>
  </si>
  <si>
    <t>S38/T24</t>
  </si>
  <si>
    <t>-</t>
  </si>
  <si>
    <t>Date/Time</t>
  </si>
  <si>
    <t>WHP</t>
  </si>
  <si>
    <t>WHT Use V2</t>
  </si>
  <si>
    <t>DHGP</t>
  </si>
  <si>
    <t>Input DHGT</t>
  </si>
  <si>
    <t>DPwb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</si>
</sst>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"/>
    <numFmt numFmtId="167" formatCode="0.000"/>
    <numFmt numFmtId="168" formatCode="#,##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11" fontId="0" fillId="0" borderId="0" xfId="0" applyNumberFormat="1"/>
    <xf numFmtId="22" fontId="0" fillId="0" borderId="0" xfId="0" applyNumberFormat="1"/>
    <xf numFmtId="1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0" borderId="10" xfId="0" applyBorder="1"/>
    <xf numFmtId="14" fontId="0" fillId="0" borderId="10" xfId="0" applyNumberFormat="1" applyBorder="1"/>
    <xf numFmtId="14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/>
    </xf>
    <xf numFmtId="1" fontId="0" fillId="0" borderId="10" xfId="0" applyNumberFormat="1" applyBorder="1"/>
    <xf numFmtId="166" fontId="0" fillId="0" borderId="10" xfId="0" applyNumberFormat="1" applyBorder="1" applyAlignment="1">
      <alignment horizontal="center"/>
    </xf>
    <xf numFmtId="166" fontId="0" fillId="0" borderId="10" xfId="0" applyNumberFormat="1" applyBorder="1"/>
    <xf numFmtId="3" fontId="0" fillId="0" borderId="10" xfId="0" applyNumberFormat="1" applyBorder="1"/>
    <xf numFmtId="3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0359-647C-4F27-98B8-6729C637CD56}">
  <dimension ref="A1:P200"/>
  <sheetViews>
    <sheetView tabSelected="1" workbookViewId="0">
      <selection activeCell="Q1" sqref="Q1:R1048576"/>
    </sheetView>
  </sheetViews>
  <sheetFormatPr defaultRowHeight="14.4" x14ac:dyDescent="0.3"/>
  <sheetData>
    <row r="1" spans="1:16" x14ac:dyDescent="0.3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32</v>
      </c>
      <c r="P1" t="s">
        <v>31</v>
      </c>
    </row>
    <row r="2" spans="1:16" x14ac:dyDescent="0.3">
      <c r="A2" t="s">
        <v>75</v>
      </c>
      <c r="B2" t="s">
        <v>33</v>
      </c>
      <c r="C2" t="s">
        <v>34</v>
      </c>
      <c r="D2" t="s">
        <v>33</v>
      </c>
      <c r="E2" t="s">
        <v>34</v>
      </c>
      <c r="F2" t="s">
        <v>33</v>
      </c>
      <c r="G2" t="s">
        <v>33</v>
      </c>
      <c r="H2" t="s">
        <v>35</v>
      </c>
      <c r="I2" t="s">
        <v>36</v>
      </c>
      <c r="J2" t="s">
        <v>36</v>
      </c>
      <c r="K2" t="s">
        <v>38</v>
      </c>
      <c r="L2" t="s">
        <v>39</v>
      </c>
      <c r="M2" t="s">
        <v>39</v>
      </c>
      <c r="N2" t="s">
        <v>40</v>
      </c>
      <c r="O2" t="s">
        <v>39</v>
      </c>
      <c r="P2" t="s">
        <v>39</v>
      </c>
    </row>
    <row r="3" spans="1:16" x14ac:dyDescent="0.3">
      <c r="A3" s="3">
        <v>46104.257060185184</v>
      </c>
      <c r="B3">
        <v>-99999</v>
      </c>
      <c r="C3">
        <v>-99999</v>
      </c>
      <c r="D3">
        <v>7485.6967770000001</v>
      </c>
      <c r="E3">
        <v>-99999</v>
      </c>
      <c r="F3">
        <v>-99999</v>
      </c>
      <c r="G3">
        <v>7513.9321410000002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s="3">
        <v>46105.264004629629</v>
      </c>
      <c r="B4">
        <v>7.8710170000000002</v>
      </c>
      <c r="C4">
        <v>-99999</v>
      </c>
      <c r="D4">
        <v>7485.6967770000001</v>
      </c>
      <c r="E4">
        <v>-99999</v>
      </c>
      <c r="F4">
        <v>7477.8257599999997</v>
      </c>
      <c r="G4">
        <v>7513.9321410000002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s="3">
        <v>46106.270949074074</v>
      </c>
      <c r="B5">
        <v>7.8710170000000002</v>
      </c>
      <c r="C5">
        <v>-99999</v>
      </c>
      <c r="D5">
        <v>7485.6967770000001</v>
      </c>
      <c r="E5">
        <v>-99999</v>
      </c>
      <c r="F5">
        <v>7477.8257599999997</v>
      </c>
      <c r="G5">
        <v>7513.9321410000002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">
      <c r="A6" s="3">
        <v>46107.267476851855</v>
      </c>
      <c r="B6">
        <v>7.8710170000000002</v>
      </c>
      <c r="C6">
        <v>-99999</v>
      </c>
      <c r="D6">
        <v>7485.6967770000001</v>
      </c>
      <c r="E6">
        <v>-99999</v>
      </c>
      <c r="F6">
        <v>7477.8257599999997</v>
      </c>
      <c r="G6">
        <v>7513.9321410000002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">
      <c r="A7" s="3">
        <v>46108.267476851855</v>
      </c>
      <c r="B7">
        <v>-99999</v>
      </c>
      <c r="C7">
        <v>-99999</v>
      </c>
      <c r="D7">
        <v>7485.6967770000001</v>
      </c>
      <c r="E7">
        <v>-99999</v>
      </c>
      <c r="F7">
        <v>-99999</v>
      </c>
      <c r="G7">
        <v>7513.9321410000002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s="3">
        <v>46109.270949074074</v>
      </c>
      <c r="B8">
        <v>-99999</v>
      </c>
      <c r="C8">
        <v>-99999</v>
      </c>
      <c r="D8">
        <v>-99999</v>
      </c>
      <c r="E8">
        <v>-99999</v>
      </c>
      <c r="F8">
        <v>-99999</v>
      </c>
      <c r="G8">
        <v>7513.9321410000002</v>
      </c>
      <c r="H8">
        <v>-99999</v>
      </c>
      <c r="I8">
        <v>-99999</v>
      </c>
      <c r="J8">
        <v>-99999</v>
      </c>
      <c r="K8">
        <v>0</v>
      </c>
      <c r="L8">
        <v>0</v>
      </c>
      <c r="M8">
        <v>0</v>
      </c>
      <c r="N8">
        <v>-99999</v>
      </c>
      <c r="O8">
        <v>-99999</v>
      </c>
      <c r="P8">
        <v>-99999</v>
      </c>
    </row>
    <row r="9" spans="1:16" x14ac:dyDescent="0.3">
      <c r="A9" s="3">
        <v>46110.281365740739</v>
      </c>
      <c r="B9">
        <v>-99999</v>
      </c>
      <c r="C9">
        <v>-99999</v>
      </c>
      <c r="D9">
        <v>7485.6967770000001</v>
      </c>
      <c r="E9">
        <v>-99999</v>
      </c>
      <c r="F9">
        <v>-99999</v>
      </c>
      <c r="G9">
        <v>7513.9321410000002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">
      <c r="A10" s="3">
        <v>46111.257060185184</v>
      </c>
      <c r="B10">
        <v>7.8710170000000002</v>
      </c>
      <c r="C10">
        <v>-99999</v>
      </c>
      <c r="D10">
        <v>-99999</v>
      </c>
      <c r="E10">
        <v>-99999</v>
      </c>
      <c r="F10">
        <v>-99999</v>
      </c>
      <c r="G10">
        <v>7513.9321410000002</v>
      </c>
      <c r="H10">
        <v>-99999</v>
      </c>
      <c r="I10">
        <v>-99999</v>
      </c>
      <c r="J10">
        <v>-99999</v>
      </c>
      <c r="K10">
        <v>0</v>
      </c>
      <c r="L10">
        <v>0</v>
      </c>
      <c r="M10">
        <v>0</v>
      </c>
      <c r="N10">
        <v>-99999</v>
      </c>
      <c r="O10">
        <v>-99999</v>
      </c>
      <c r="P10">
        <v>-99999</v>
      </c>
    </row>
    <row r="11" spans="1:16" x14ac:dyDescent="0.3">
      <c r="A11" s="3">
        <v>46112.257060185184</v>
      </c>
      <c r="B11">
        <v>-99999</v>
      </c>
      <c r="C11">
        <v>-99999</v>
      </c>
      <c r="D11">
        <v>7485.6967770000001</v>
      </c>
      <c r="E11">
        <v>-99999</v>
      </c>
      <c r="F11">
        <v>-99999</v>
      </c>
      <c r="G11">
        <v>7513.9321410000002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s="3">
        <v>46113.398298611108</v>
      </c>
      <c r="B12">
        <v>5569.7348629999997</v>
      </c>
      <c r="C12">
        <v>-99999</v>
      </c>
      <c r="D12">
        <v>7333.4951170000004</v>
      </c>
      <c r="E12">
        <v>-99999</v>
      </c>
      <c r="F12">
        <v>1763.760254</v>
      </c>
      <c r="G12">
        <v>7361.5382520000003</v>
      </c>
      <c r="H12">
        <v>4025.1059570000002</v>
      </c>
      <c r="I12">
        <v>87.988816</v>
      </c>
      <c r="J12">
        <v>0</v>
      </c>
      <c r="K12">
        <v>3780.0379400000002</v>
      </c>
      <c r="L12">
        <v>82.631629000000004</v>
      </c>
      <c r="M12">
        <v>0</v>
      </c>
      <c r="N12">
        <v>4.3540000000000002E-3</v>
      </c>
      <c r="O12">
        <v>0</v>
      </c>
      <c r="P12">
        <v>95.183132000000001</v>
      </c>
    </row>
    <row r="13" spans="1:16" x14ac:dyDescent="0.3">
      <c r="A13" s="3">
        <v>46114.281365740739</v>
      </c>
      <c r="B13">
        <v>5734.4233400000003</v>
      </c>
      <c r="C13">
        <v>-99999</v>
      </c>
      <c r="D13">
        <v>7377.8510740000002</v>
      </c>
      <c r="E13">
        <v>-99999</v>
      </c>
      <c r="F13">
        <v>1643.4277340000001</v>
      </c>
      <c r="G13">
        <v>7405.9218790000004</v>
      </c>
      <c r="H13">
        <v>5690.4422029999996</v>
      </c>
      <c r="I13">
        <v>124.393067</v>
      </c>
      <c r="J13">
        <v>0</v>
      </c>
      <c r="K13">
        <v>5246.4723869999998</v>
      </c>
      <c r="L13">
        <v>114.68788600000001</v>
      </c>
      <c r="M13">
        <v>0</v>
      </c>
      <c r="N13">
        <v>8.5509999999999996E-3</v>
      </c>
      <c r="O13">
        <v>0</v>
      </c>
      <c r="P13">
        <v>186.93337199999999</v>
      </c>
    </row>
    <row r="14" spans="1:16" x14ac:dyDescent="0.3">
      <c r="A14" s="3">
        <v>46115.250115740739</v>
      </c>
      <c r="B14">
        <v>1395.794922</v>
      </c>
      <c r="C14">
        <v>-99999</v>
      </c>
      <c r="D14">
        <v>7396.6416019999997</v>
      </c>
      <c r="E14">
        <v>-99999</v>
      </c>
      <c r="F14">
        <v>6000.8466799999997</v>
      </c>
      <c r="G14">
        <v>7424.7425089999997</v>
      </c>
      <c r="H14">
        <v>0</v>
      </c>
      <c r="I14">
        <v>0</v>
      </c>
      <c r="J14">
        <v>0</v>
      </c>
      <c r="K14">
        <v>197.84172699999999</v>
      </c>
      <c r="L14">
        <v>4.3248199999999999</v>
      </c>
      <c r="M14">
        <v>0</v>
      </c>
      <c r="N14">
        <v>8.7419999999999998E-3</v>
      </c>
      <c r="O14">
        <v>0</v>
      </c>
      <c r="P14">
        <v>191.108025</v>
      </c>
    </row>
    <row r="15" spans="1:16" x14ac:dyDescent="0.3">
      <c r="A15" s="3">
        <v>46116.250115740739</v>
      </c>
      <c r="B15">
        <v>289.30017099999998</v>
      </c>
      <c r="C15">
        <v>-99999</v>
      </c>
      <c r="D15">
        <v>7416.5283200000003</v>
      </c>
      <c r="E15">
        <v>-99999</v>
      </c>
      <c r="F15">
        <v>7127.2281489999996</v>
      </c>
      <c r="G15">
        <v>7444.6595379999999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8.7419999999999998E-3</v>
      </c>
      <c r="O15">
        <v>0</v>
      </c>
      <c r="P15">
        <v>191.108025</v>
      </c>
    </row>
    <row r="16" spans="1:16" x14ac:dyDescent="0.3">
      <c r="A16" s="3">
        <v>46117.250115740739</v>
      </c>
      <c r="B16">
        <v>170.740128</v>
      </c>
      <c r="C16">
        <v>-99999</v>
      </c>
      <c r="D16">
        <v>7432.0976559999999</v>
      </c>
      <c r="E16">
        <v>-99999</v>
      </c>
      <c r="F16">
        <v>7261.3575279999995</v>
      </c>
      <c r="G16">
        <v>7460.2524629999998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8.7419999999999998E-3</v>
      </c>
      <c r="O16">
        <v>0</v>
      </c>
      <c r="P16">
        <v>191.108025</v>
      </c>
    </row>
    <row r="17" spans="1:16" x14ac:dyDescent="0.3">
      <c r="A17" s="3">
        <v>46118.250115740739</v>
      </c>
      <c r="B17">
        <v>-99999</v>
      </c>
      <c r="C17">
        <v>-99999</v>
      </c>
      <c r="D17">
        <v>7444.5532229999999</v>
      </c>
      <c r="E17">
        <v>-99999</v>
      </c>
      <c r="F17">
        <v>7371.5662389999998</v>
      </c>
      <c r="G17">
        <v>7472.7268329999997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8.7419999999999998E-3</v>
      </c>
      <c r="O17">
        <v>0</v>
      </c>
      <c r="P17">
        <v>191.108025</v>
      </c>
    </row>
    <row r="18" spans="1:16" x14ac:dyDescent="0.3">
      <c r="A18" s="3">
        <v>46119.250115740739</v>
      </c>
      <c r="B18">
        <v>53.947066999999997</v>
      </c>
      <c r="C18">
        <v>-99999</v>
      </c>
      <c r="D18">
        <v>7454.486328</v>
      </c>
      <c r="E18">
        <v>-99999</v>
      </c>
      <c r="F18">
        <v>7400.5392609999999</v>
      </c>
      <c r="G18">
        <v>7482.6748960000004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8.7419999999999998E-3</v>
      </c>
      <c r="O18">
        <v>0</v>
      </c>
      <c r="P18">
        <v>191.108025</v>
      </c>
    </row>
    <row r="19" spans="1:16" x14ac:dyDescent="0.3">
      <c r="A19" s="3">
        <v>46120.250115740739</v>
      </c>
      <c r="B19">
        <v>49.628447999999999</v>
      </c>
      <c r="C19">
        <v>-99999</v>
      </c>
      <c r="D19">
        <v>7462.4960940000001</v>
      </c>
      <c r="E19">
        <v>-99999</v>
      </c>
      <c r="F19">
        <v>7412.8676459999997</v>
      </c>
      <c r="G19">
        <v>7490.6967000000004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8.7419999999999998E-3</v>
      </c>
      <c r="O19">
        <v>0</v>
      </c>
      <c r="P19">
        <v>191.108025</v>
      </c>
    </row>
    <row r="20" spans="1:16" x14ac:dyDescent="0.3">
      <c r="A20" s="3">
        <v>46121.250115740739</v>
      </c>
      <c r="B20">
        <v>-99999</v>
      </c>
      <c r="C20">
        <v>-99999</v>
      </c>
      <c r="D20">
        <v>7468.6367190000001</v>
      </c>
      <c r="E20">
        <v>-99999</v>
      </c>
      <c r="F20">
        <v>-99999</v>
      </c>
      <c r="G20">
        <v>7496.8465399999995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8.7419999999999998E-3</v>
      </c>
      <c r="O20">
        <v>0</v>
      </c>
      <c r="P20">
        <v>191.108025</v>
      </c>
    </row>
    <row r="21" spans="1:16" x14ac:dyDescent="0.3">
      <c r="A21" s="3">
        <v>46122.257060185184</v>
      </c>
      <c r="B21">
        <v>44.132232999999999</v>
      </c>
      <c r="C21">
        <v>-99999</v>
      </c>
      <c r="D21">
        <v>7473.1328130000002</v>
      </c>
      <c r="E21">
        <v>-99999</v>
      </c>
      <c r="F21">
        <v>7429.0005799999999</v>
      </c>
      <c r="G21">
        <v>7501.3493740000004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8.7419999999999998E-3</v>
      </c>
      <c r="O21">
        <v>0</v>
      </c>
      <c r="P21">
        <v>191.108025</v>
      </c>
    </row>
    <row r="22" spans="1:16" x14ac:dyDescent="0.3">
      <c r="A22" s="3">
        <v>46123.250115740739</v>
      </c>
      <c r="B22">
        <v>-99999</v>
      </c>
      <c r="C22">
        <v>-99999</v>
      </c>
      <c r="D22">
        <v>7476.6069340000004</v>
      </c>
      <c r="E22">
        <v>-99999</v>
      </c>
      <c r="F22">
        <v>-99999</v>
      </c>
      <c r="G22">
        <v>7504.8286989999997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8.7419999999999998E-3</v>
      </c>
      <c r="O22">
        <v>0</v>
      </c>
      <c r="P22">
        <v>191.108025</v>
      </c>
    </row>
    <row r="23" spans="1:16" x14ac:dyDescent="0.3">
      <c r="A23" s="3">
        <v>46124.250115740739</v>
      </c>
      <c r="B23">
        <v>-99999</v>
      </c>
      <c r="C23">
        <v>-99999</v>
      </c>
      <c r="D23">
        <v>7479.1777339999999</v>
      </c>
      <c r="E23">
        <v>-99999</v>
      </c>
      <c r="F23">
        <v>-99999</v>
      </c>
      <c r="G23">
        <v>7507.4033470000004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8.7419999999999998E-3</v>
      </c>
      <c r="O23">
        <v>0</v>
      </c>
      <c r="P23">
        <v>191.108025</v>
      </c>
    </row>
    <row r="24" spans="1:16" x14ac:dyDescent="0.3">
      <c r="A24" s="3">
        <v>46125.250115740739</v>
      </c>
      <c r="B24">
        <v>-99999</v>
      </c>
      <c r="C24">
        <v>-99999</v>
      </c>
      <c r="D24">
        <v>7480.9091799999997</v>
      </c>
      <c r="E24">
        <v>-99999</v>
      </c>
      <c r="F24">
        <v>-99999</v>
      </c>
      <c r="G24">
        <v>7509.1373839999997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8.7419999999999998E-3</v>
      </c>
      <c r="O24">
        <v>0</v>
      </c>
      <c r="P24">
        <v>191.108025</v>
      </c>
    </row>
    <row r="25" spans="1:16" x14ac:dyDescent="0.3">
      <c r="A25" s="3">
        <v>46126.281365740739</v>
      </c>
      <c r="B25">
        <v>41.384124999999997</v>
      </c>
      <c r="C25">
        <v>-99999</v>
      </c>
      <c r="D25">
        <v>7482.2827150000003</v>
      </c>
      <c r="E25">
        <v>-99999</v>
      </c>
      <c r="F25">
        <v>7440.8985899999998</v>
      </c>
      <c r="G25">
        <v>7510.5129740000002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8.7419999999999998E-3</v>
      </c>
      <c r="O25">
        <v>0</v>
      </c>
      <c r="P25">
        <v>191.108025</v>
      </c>
    </row>
    <row r="26" spans="1:16" x14ac:dyDescent="0.3">
      <c r="A26" s="3">
        <v>46127.250104166669</v>
      </c>
      <c r="B26">
        <v>41.188048999999999</v>
      </c>
      <c r="C26">
        <v>-99999</v>
      </c>
      <c r="D26">
        <v>-99999</v>
      </c>
      <c r="E26">
        <v>-99999</v>
      </c>
      <c r="F26">
        <v>7441.8401549999999</v>
      </c>
      <c r="G26">
        <v>7511.2595780000001</v>
      </c>
      <c r="H26">
        <v>0</v>
      </c>
      <c r="I26">
        <v>-99999</v>
      </c>
      <c r="J26">
        <v>-99999</v>
      </c>
      <c r="K26">
        <v>0</v>
      </c>
      <c r="L26">
        <v>0</v>
      </c>
      <c r="M26">
        <v>0</v>
      </c>
      <c r="N26">
        <v>-99999</v>
      </c>
      <c r="O26">
        <v>-99999</v>
      </c>
      <c r="P26">
        <v>-99999</v>
      </c>
    </row>
    <row r="27" spans="1:16" x14ac:dyDescent="0.3">
      <c r="A27" s="3">
        <v>46128.250115740739</v>
      </c>
      <c r="B27">
        <v>-99999</v>
      </c>
      <c r="C27">
        <v>-99999</v>
      </c>
      <c r="D27">
        <v>7483.5434569999998</v>
      </c>
      <c r="E27">
        <v>-99999</v>
      </c>
      <c r="F27">
        <v>-99999</v>
      </c>
      <c r="G27">
        <v>7511.7756010000003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8.7419999999999998E-3</v>
      </c>
      <c r="O27">
        <v>0</v>
      </c>
      <c r="P27">
        <v>191.108025</v>
      </c>
    </row>
    <row r="28" spans="1:16" x14ac:dyDescent="0.3">
      <c r="A28" s="3">
        <v>46129.250115740739</v>
      </c>
      <c r="B28">
        <v>52.965546000000003</v>
      </c>
      <c r="C28">
        <v>-99999</v>
      </c>
      <c r="D28">
        <v>7483.9785160000001</v>
      </c>
      <c r="E28">
        <v>-99999</v>
      </c>
      <c r="F28">
        <v>7431.0129699999998</v>
      </c>
      <c r="G28">
        <v>7512.211311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8.7419999999999998E-3</v>
      </c>
      <c r="O28">
        <v>0</v>
      </c>
      <c r="P28">
        <v>191.108025</v>
      </c>
    </row>
    <row r="29" spans="1:16" x14ac:dyDescent="0.3">
      <c r="A29" s="3">
        <v>46130.30914351852</v>
      </c>
      <c r="B29">
        <v>49.432372999999998</v>
      </c>
      <c r="C29">
        <v>-99999</v>
      </c>
      <c r="D29">
        <v>7484.220703</v>
      </c>
      <c r="E29">
        <v>-99999</v>
      </c>
      <c r="F29">
        <v>7434.7883300000003</v>
      </c>
      <c r="G29">
        <v>7512.4538599999996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8.7419999999999998E-3</v>
      </c>
      <c r="O29">
        <v>0</v>
      </c>
      <c r="P29">
        <v>191.108025</v>
      </c>
    </row>
    <row r="30" spans="1:16" x14ac:dyDescent="0.3">
      <c r="A30" s="3">
        <v>46131.250115740739</v>
      </c>
      <c r="B30">
        <v>-99999</v>
      </c>
      <c r="C30">
        <v>-99999</v>
      </c>
      <c r="D30">
        <v>7484.3500979999999</v>
      </c>
      <c r="E30">
        <v>-99999</v>
      </c>
      <c r="F30">
        <v>-99999</v>
      </c>
      <c r="G30">
        <v>7512.5834489999997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8.7419999999999998E-3</v>
      </c>
      <c r="O30">
        <v>0</v>
      </c>
      <c r="P30">
        <v>191.108025</v>
      </c>
    </row>
    <row r="31" spans="1:16" x14ac:dyDescent="0.3">
      <c r="A31" s="3">
        <v>46132.250115740739</v>
      </c>
      <c r="B31">
        <v>-99999</v>
      </c>
      <c r="C31">
        <v>-99999</v>
      </c>
      <c r="D31">
        <v>7484.3500979999999</v>
      </c>
      <c r="E31">
        <v>-99999</v>
      </c>
      <c r="F31">
        <v>-99999</v>
      </c>
      <c r="G31">
        <v>7512.5834489999997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8.7419999999999998E-3</v>
      </c>
      <c r="O31">
        <v>0</v>
      </c>
      <c r="P31">
        <v>191.108025</v>
      </c>
    </row>
    <row r="32" spans="1:16" x14ac:dyDescent="0.3">
      <c r="A32" s="3">
        <v>46133.250115740739</v>
      </c>
      <c r="B32">
        <v>36.869430999999999</v>
      </c>
      <c r="C32">
        <v>-99999</v>
      </c>
      <c r="D32">
        <v>7484.5791019999997</v>
      </c>
      <c r="E32">
        <v>-99999</v>
      </c>
      <c r="F32">
        <v>7447.7096709999996</v>
      </c>
      <c r="G32">
        <v>7512.8127949999998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8.7419999999999998E-3</v>
      </c>
      <c r="O32">
        <v>0</v>
      </c>
      <c r="P32">
        <v>191.108025</v>
      </c>
    </row>
    <row r="33" spans="1:16" x14ac:dyDescent="0.3">
      <c r="A33" s="3">
        <v>46134.250115740739</v>
      </c>
      <c r="B33">
        <v>32.747269000000003</v>
      </c>
      <c r="C33">
        <v>-99999</v>
      </c>
      <c r="D33">
        <v>7484.6464839999999</v>
      </c>
      <c r="E33">
        <v>-99999</v>
      </c>
      <c r="F33">
        <v>7451.8992150000004</v>
      </c>
      <c r="G33">
        <v>7512.8802779999996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8.7419999999999998E-3</v>
      </c>
      <c r="O33">
        <v>0</v>
      </c>
      <c r="P33">
        <v>191.108025</v>
      </c>
    </row>
    <row r="34" spans="1:16" x14ac:dyDescent="0.3">
      <c r="A34" s="3">
        <v>46135.250115740739</v>
      </c>
      <c r="B34">
        <v>14.884949000000001</v>
      </c>
      <c r="C34">
        <v>-99999</v>
      </c>
      <c r="D34">
        <v>7484.5385740000002</v>
      </c>
      <c r="E34">
        <v>-99999</v>
      </c>
      <c r="F34">
        <v>7469.6536249999999</v>
      </c>
      <c r="G34">
        <v>7512.7722059999996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8.7419999999999998E-3</v>
      </c>
      <c r="O34">
        <v>0</v>
      </c>
      <c r="P34">
        <v>191.108025</v>
      </c>
    </row>
    <row r="35" spans="1:16" x14ac:dyDescent="0.3">
      <c r="A35" s="3">
        <v>46136.250115740739</v>
      </c>
      <c r="B35">
        <v>21.558762000000002</v>
      </c>
      <c r="C35">
        <v>-99999</v>
      </c>
      <c r="D35">
        <v>7484.6787109999996</v>
      </c>
      <c r="E35">
        <v>-99999</v>
      </c>
      <c r="F35">
        <v>7463.1199489999999</v>
      </c>
      <c r="G35">
        <v>7512.9125530000001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8.7419999999999998E-3</v>
      </c>
      <c r="O35">
        <v>0</v>
      </c>
      <c r="P35">
        <v>191.108025</v>
      </c>
    </row>
    <row r="36" spans="1:16" x14ac:dyDescent="0.3">
      <c r="A36" s="3">
        <v>46137.250115740739</v>
      </c>
      <c r="B36">
        <v>-99999</v>
      </c>
      <c r="C36">
        <v>-99999</v>
      </c>
      <c r="D36">
        <v>7484.6450199999999</v>
      </c>
      <c r="E36">
        <v>-99999</v>
      </c>
      <c r="F36">
        <v>-99999</v>
      </c>
      <c r="G36">
        <v>7512.8788119999999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8.7419999999999998E-3</v>
      </c>
      <c r="O36">
        <v>0</v>
      </c>
      <c r="P36">
        <v>191.108025</v>
      </c>
    </row>
    <row r="37" spans="1:16" x14ac:dyDescent="0.3">
      <c r="A37" s="3">
        <v>46138.250115740739</v>
      </c>
      <c r="B37">
        <v>41.384124999999997</v>
      </c>
      <c r="C37">
        <v>-99999</v>
      </c>
      <c r="D37">
        <v>7484.7109380000002</v>
      </c>
      <c r="E37">
        <v>-99999</v>
      </c>
      <c r="F37">
        <v>7443.3268129999997</v>
      </c>
      <c r="G37">
        <v>7512.9448279999997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8.7419999999999998E-3</v>
      </c>
      <c r="O37">
        <v>0</v>
      </c>
      <c r="P37">
        <v>191.108025</v>
      </c>
    </row>
    <row r="38" spans="1:16" x14ac:dyDescent="0.3">
      <c r="A38" s="3">
        <v>46139.250115740739</v>
      </c>
      <c r="B38">
        <v>-99999</v>
      </c>
      <c r="C38">
        <v>-99999</v>
      </c>
      <c r="D38">
        <v>7484.8486329999996</v>
      </c>
      <c r="E38">
        <v>-99999</v>
      </c>
      <c r="F38">
        <v>-99999</v>
      </c>
      <c r="G38">
        <v>7513.0827289999997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8.7419999999999998E-3</v>
      </c>
      <c r="O38">
        <v>0</v>
      </c>
      <c r="P38">
        <v>191.108025</v>
      </c>
    </row>
    <row r="39" spans="1:16" x14ac:dyDescent="0.3">
      <c r="A39" s="3">
        <v>46140.850810185184</v>
      </c>
      <c r="B39">
        <v>16.651534999999999</v>
      </c>
      <c r="C39">
        <v>-99999</v>
      </c>
      <c r="D39">
        <v>7485.0009769999997</v>
      </c>
      <c r="E39">
        <v>-99999</v>
      </c>
      <c r="F39">
        <v>7468.3494419999997</v>
      </c>
      <c r="G39">
        <v>7513.2353009999997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8.7419999999999998E-3</v>
      </c>
      <c r="O39">
        <v>0</v>
      </c>
      <c r="P39">
        <v>191.108025</v>
      </c>
    </row>
    <row r="40" spans="1:16" x14ac:dyDescent="0.3">
      <c r="A40" s="3">
        <v>46141.250115740739</v>
      </c>
      <c r="B40">
        <v>-99999</v>
      </c>
      <c r="C40">
        <v>-99999</v>
      </c>
      <c r="D40">
        <v>7484.9448240000002</v>
      </c>
      <c r="E40">
        <v>-99999</v>
      </c>
      <c r="F40">
        <v>-99999</v>
      </c>
      <c r="G40">
        <v>7513.1790639999999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8.7419999999999998E-3</v>
      </c>
      <c r="O40">
        <v>0</v>
      </c>
      <c r="P40">
        <v>191.108025</v>
      </c>
    </row>
    <row r="41" spans="1:16" x14ac:dyDescent="0.3">
      <c r="A41" s="3">
        <v>46142.250115740739</v>
      </c>
      <c r="B41">
        <v>244.34967</v>
      </c>
      <c r="C41">
        <v>-99999</v>
      </c>
      <c r="D41">
        <v>7484.9462890000004</v>
      </c>
      <c r="E41">
        <v>-99999</v>
      </c>
      <c r="F41">
        <v>7240.5966189999999</v>
      </c>
      <c r="G41">
        <v>7513.180531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8.7419999999999998E-3</v>
      </c>
      <c r="O41">
        <v>0</v>
      </c>
      <c r="P41">
        <v>191.108025</v>
      </c>
    </row>
    <row r="42" spans="1:16" x14ac:dyDescent="0.3">
      <c r="A42" s="3">
        <v>46143.458171296297</v>
      </c>
      <c r="B42">
        <v>-99999</v>
      </c>
      <c r="C42">
        <v>-99999</v>
      </c>
      <c r="D42">
        <v>-99999</v>
      </c>
      <c r="E42">
        <v>126.092758</v>
      </c>
      <c r="F42">
        <v>-99999</v>
      </c>
      <c r="G42">
        <v>-99999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8.7419999999999998E-3</v>
      </c>
      <c r="O42">
        <v>0</v>
      </c>
      <c r="P42">
        <v>191.108025</v>
      </c>
    </row>
    <row r="43" spans="1:16" x14ac:dyDescent="0.3">
      <c r="A43" s="3">
        <v>46144.253310185188</v>
      </c>
      <c r="B43">
        <v>-99999</v>
      </c>
      <c r="C43">
        <v>76.918744000000004</v>
      </c>
      <c r="D43">
        <v>-99999</v>
      </c>
      <c r="E43">
        <v>126.09485599999999</v>
      </c>
      <c r="F43">
        <v>-99999</v>
      </c>
      <c r="G43">
        <v>-99999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8.7419999999999998E-3</v>
      </c>
      <c r="O43">
        <v>0</v>
      </c>
      <c r="P43">
        <v>191.108025</v>
      </c>
    </row>
    <row r="44" spans="1:16" x14ac:dyDescent="0.3">
      <c r="A44" s="3">
        <v>46145.333333333336</v>
      </c>
      <c r="B44">
        <v>-99999</v>
      </c>
      <c r="C44">
        <v>-99999</v>
      </c>
      <c r="D44">
        <v>-99999</v>
      </c>
      <c r="E44">
        <v>-99999</v>
      </c>
      <c r="F44">
        <v>-99999</v>
      </c>
      <c r="G44">
        <v>-99999</v>
      </c>
      <c r="H44">
        <v>-99999</v>
      </c>
      <c r="I44">
        <v>112.14009</v>
      </c>
      <c r="J44">
        <v>0</v>
      </c>
      <c r="K44">
        <v>3736.4320509999998</v>
      </c>
      <c r="L44">
        <v>71.138150999999993</v>
      </c>
      <c r="M44">
        <v>0</v>
      </c>
      <c r="N44">
        <v>1.2377000000000001E-2</v>
      </c>
      <c r="O44">
        <v>0</v>
      </c>
      <c r="P44">
        <v>261.11324100000002</v>
      </c>
    </row>
    <row r="45" spans="1:16" x14ac:dyDescent="0.3">
      <c r="A45" s="3">
        <v>46146.253310185188</v>
      </c>
      <c r="B45">
        <v>-99999</v>
      </c>
      <c r="C45">
        <v>67.294409999999999</v>
      </c>
      <c r="D45">
        <v>-99999</v>
      </c>
      <c r="E45">
        <v>128.21545399999999</v>
      </c>
      <c r="F45">
        <v>1606.6155269999999</v>
      </c>
      <c r="G45">
        <v>-99999</v>
      </c>
      <c r="H45">
        <v>11992.862768999999</v>
      </c>
      <c r="I45">
        <v>170.33224300000001</v>
      </c>
      <c r="J45">
        <v>0</v>
      </c>
      <c r="K45">
        <v>9950.9289840000001</v>
      </c>
      <c r="L45">
        <v>155.22447700000001</v>
      </c>
      <c r="M45">
        <v>0</v>
      </c>
      <c r="N45">
        <v>2.0164999999999999E-2</v>
      </c>
      <c r="O45">
        <v>0</v>
      </c>
      <c r="P45">
        <v>412.29658799999999</v>
      </c>
    </row>
    <row r="46" spans="1:16" x14ac:dyDescent="0.3">
      <c r="A46" s="3">
        <v>46147.333333333336</v>
      </c>
      <c r="B46">
        <v>5355</v>
      </c>
      <c r="C46">
        <v>69.599999999999994</v>
      </c>
      <c r="D46">
        <v>6942</v>
      </c>
      <c r="E46">
        <v>-99999</v>
      </c>
      <c r="F46">
        <v>1587</v>
      </c>
      <c r="G46">
        <v>-99999</v>
      </c>
      <c r="H46">
        <v>12160.596796</v>
      </c>
      <c r="I46">
        <v>160.73756599999999</v>
      </c>
      <c r="J46">
        <v>0</v>
      </c>
      <c r="K46">
        <v>12165.5713</v>
      </c>
      <c r="L46">
        <v>167.48169200000001</v>
      </c>
      <c r="M46">
        <v>0</v>
      </c>
      <c r="N46">
        <v>3.3342999999999998E-2</v>
      </c>
      <c r="O46">
        <v>0</v>
      </c>
      <c r="P46">
        <v>589.38594000000001</v>
      </c>
    </row>
    <row r="47" spans="1:16" x14ac:dyDescent="0.3">
      <c r="A47" s="3">
        <v>46148.253310185188</v>
      </c>
      <c r="B47">
        <v>-99999</v>
      </c>
      <c r="C47">
        <v>70.523269999999997</v>
      </c>
      <c r="D47">
        <v>-99999</v>
      </c>
      <c r="E47">
        <v>127.836029</v>
      </c>
      <c r="F47">
        <v>1578.389101</v>
      </c>
      <c r="G47">
        <v>-99999</v>
      </c>
      <c r="H47">
        <v>12233.171807000001</v>
      </c>
      <c r="I47">
        <v>157.43066300000001</v>
      </c>
      <c r="J47">
        <v>0</v>
      </c>
      <c r="K47">
        <v>12137.249671</v>
      </c>
      <c r="L47">
        <v>158.80905799999999</v>
      </c>
      <c r="M47">
        <v>0</v>
      </c>
      <c r="N47">
        <v>4.4343E-2</v>
      </c>
      <c r="O47">
        <v>0</v>
      </c>
      <c r="P47">
        <v>734.97450400000002</v>
      </c>
    </row>
    <row r="48" spans="1:16" x14ac:dyDescent="0.3">
      <c r="A48" s="3">
        <v>46149.253310185188</v>
      </c>
      <c r="B48">
        <v>-99999</v>
      </c>
      <c r="C48">
        <v>70.528480999999999</v>
      </c>
      <c r="D48">
        <v>-99999</v>
      </c>
      <c r="E48">
        <v>127.656853</v>
      </c>
      <c r="F48">
        <v>1570.639805</v>
      </c>
      <c r="G48">
        <v>-99999</v>
      </c>
      <c r="H48">
        <v>12086.563015</v>
      </c>
      <c r="I48">
        <v>156.54506599999999</v>
      </c>
      <c r="J48">
        <v>0</v>
      </c>
      <c r="K48">
        <v>12086.650310000001</v>
      </c>
      <c r="L48">
        <v>157.207897</v>
      </c>
      <c r="M48">
        <v>0</v>
      </c>
      <c r="N48">
        <v>5.6304E-2</v>
      </c>
      <c r="O48">
        <v>0</v>
      </c>
      <c r="P48">
        <v>892.18010000000004</v>
      </c>
    </row>
    <row r="49" spans="1:16" x14ac:dyDescent="0.3">
      <c r="A49" s="3">
        <v>46150.253310185188</v>
      </c>
      <c r="B49">
        <v>-99999</v>
      </c>
      <c r="C49">
        <v>70.734900999999994</v>
      </c>
      <c r="D49">
        <v>-99999</v>
      </c>
      <c r="E49">
        <v>127.48867</v>
      </c>
      <c r="F49">
        <v>1563.6625200000001</v>
      </c>
      <c r="G49">
        <v>-99999</v>
      </c>
      <c r="H49">
        <v>11995.238019</v>
      </c>
      <c r="I49">
        <v>156.00691399999999</v>
      </c>
      <c r="J49">
        <v>0</v>
      </c>
      <c r="K49">
        <v>11999.540164</v>
      </c>
      <c r="L49">
        <v>154.950399</v>
      </c>
      <c r="M49">
        <v>0</v>
      </c>
      <c r="N49">
        <v>6.8304000000000004E-2</v>
      </c>
      <c r="O49">
        <v>0</v>
      </c>
      <c r="P49">
        <v>1047.1341669999999</v>
      </c>
    </row>
    <row r="50" spans="1:16" x14ac:dyDescent="0.3">
      <c r="A50" s="3">
        <v>46151.253310185188</v>
      </c>
      <c r="B50">
        <v>-99999</v>
      </c>
      <c r="C50">
        <v>70.928917999999996</v>
      </c>
      <c r="D50">
        <v>-99999</v>
      </c>
      <c r="E50">
        <v>127.335335</v>
      </c>
      <c r="F50">
        <v>1557.293574</v>
      </c>
      <c r="G50">
        <v>-99999</v>
      </c>
      <c r="H50">
        <v>12143.041348000001</v>
      </c>
      <c r="I50">
        <v>153.58582100000001</v>
      </c>
      <c r="J50">
        <v>0</v>
      </c>
      <c r="K50">
        <v>12076.903147000001</v>
      </c>
      <c r="L50">
        <v>154.910381</v>
      </c>
      <c r="M50">
        <v>0</v>
      </c>
      <c r="N50">
        <v>8.0380999999999994E-2</v>
      </c>
      <c r="O50">
        <v>0</v>
      </c>
      <c r="P50">
        <v>1202.039949</v>
      </c>
    </row>
    <row r="51" spans="1:16" x14ac:dyDescent="0.3">
      <c r="A51" s="3">
        <v>46152.333333333336</v>
      </c>
      <c r="B51">
        <v>-99999</v>
      </c>
      <c r="C51">
        <v>-99999</v>
      </c>
      <c r="D51">
        <v>-99999</v>
      </c>
      <c r="E51">
        <v>-99999</v>
      </c>
      <c r="F51">
        <v>-99999</v>
      </c>
      <c r="G51">
        <v>-99999</v>
      </c>
      <c r="H51">
        <v>-99999</v>
      </c>
      <c r="I51">
        <v>-99999</v>
      </c>
      <c r="J51">
        <v>-99999</v>
      </c>
      <c r="K51">
        <v>12064.134576</v>
      </c>
      <c r="L51">
        <v>153.744001</v>
      </c>
      <c r="M51">
        <v>0</v>
      </c>
      <c r="N51">
        <v>-99999</v>
      </c>
      <c r="O51">
        <v>-99999</v>
      </c>
      <c r="P51">
        <v>-99999</v>
      </c>
    </row>
    <row r="52" spans="1:16" x14ac:dyDescent="0.3">
      <c r="A52" s="3">
        <v>46153.270833333336</v>
      </c>
      <c r="B52">
        <v>5021</v>
      </c>
      <c r="C52">
        <v>70.5</v>
      </c>
      <c r="D52">
        <v>6566</v>
      </c>
      <c r="E52">
        <v>127.01</v>
      </c>
      <c r="F52">
        <v>1545</v>
      </c>
      <c r="G52">
        <v>-99999</v>
      </c>
      <c r="H52">
        <v>12141.911319000001</v>
      </c>
      <c r="I52">
        <v>150.55969999999999</v>
      </c>
      <c r="J52">
        <v>0</v>
      </c>
      <c r="K52">
        <v>0</v>
      </c>
      <c r="L52">
        <v>0</v>
      </c>
      <c r="M52">
        <v>0</v>
      </c>
      <c r="N52">
        <v>0.104839</v>
      </c>
      <c r="O52">
        <v>0</v>
      </c>
      <c r="P52">
        <v>1507.918187</v>
      </c>
    </row>
    <row r="53" spans="1:16" x14ac:dyDescent="0.3">
      <c r="A53" s="3">
        <v>46154.263726851852</v>
      </c>
      <c r="B53">
        <v>-99999</v>
      </c>
      <c r="C53">
        <v>70.177612999999994</v>
      </c>
      <c r="D53">
        <v>-99999</v>
      </c>
      <c r="E53">
        <v>126.93087</v>
      </c>
      <c r="F53">
        <v>1540.7843559999999</v>
      </c>
      <c r="G53">
        <v>-99999</v>
      </c>
      <c r="H53">
        <v>11257.809606999999</v>
      </c>
      <c r="I53">
        <v>150.27517599999999</v>
      </c>
      <c r="J53">
        <v>0</v>
      </c>
      <c r="K53">
        <v>11279.255029</v>
      </c>
      <c r="L53">
        <v>148.551254</v>
      </c>
      <c r="M53">
        <v>0</v>
      </c>
      <c r="N53">
        <v>0.112458</v>
      </c>
      <c r="O53">
        <v>0</v>
      </c>
      <c r="P53">
        <v>1654.963168</v>
      </c>
    </row>
    <row r="54" spans="1:16" x14ac:dyDescent="0.3">
      <c r="A54" s="3">
        <v>46155.253310185188</v>
      </c>
      <c r="B54">
        <v>-99999</v>
      </c>
      <c r="C54">
        <v>69.917621999999994</v>
      </c>
      <c r="D54">
        <v>-99999</v>
      </c>
      <c r="E54">
        <v>126.818062</v>
      </c>
      <c r="F54">
        <v>1535.594257</v>
      </c>
      <c r="G54">
        <v>-99999</v>
      </c>
      <c r="H54">
        <v>11289.639895</v>
      </c>
      <c r="I54">
        <v>148.263487</v>
      </c>
      <c r="J54">
        <v>0</v>
      </c>
      <c r="K54">
        <v>11421.616174999999</v>
      </c>
      <c r="L54">
        <v>149.46824599999999</v>
      </c>
      <c r="M54">
        <v>0</v>
      </c>
      <c r="N54">
        <v>0.123682</v>
      </c>
      <c r="O54">
        <v>0</v>
      </c>
      <c r="P54">
        <v>1802.861864</v>
      </c>
    </row>
    <row r="55" spans="1:16" x14ac:dyDescent="0.3">
      <c r="A55" s="3">
        <v>46156.253310185188</v>
      </c>
      <c r="B55">
        <v>-99999</v>
      </c>
      <c r="C55">
        <v>68.625056000000001</v>
      </c>
      <c r="D55">
        <v>-99999</v>
      </c>
      <c r="E55">
        <v>126.730858</v>
      </c>
      <c r="F55">
        <v>1532.882325</v>
      </c>
      <c r="G55">
        <v>-99999</v>
      </c>
      <c r="H55">
        <v>11802.992367999999</v>
      </c>
      <c r="I55">
        <v>153.20734400000001</v>
      </c>
      <c r="J55">
        <v>0</v>
      </c>
      <c r="K55">
        <v>10337.94924</v>
      </c>
      <c r="L55">
        <v>135.416168</v>
      </c>
      <c r="M55">
        <v>0</v>
      </c>
      <c r="N55">
        <v>0.13397899999999999</v>
      </c>
      <c r="O55">
        <v>0</v>
      </c>
      <c r="P55">
        <v>1938.2623590000001</v>
      </c>
    </row>
    <row r="56" spans="1:16" x14ac:dyDescent="0.3">
      <c r="A56" s="3">
        <v>46157.25</v>
      </c>
      <c r="B56">
        <v>1214.4216309999999</v>
      </c>
      <c r="C56">
        <v>81.617294000000001</v>
      </c>
      <c r="D56">
        <v>6746.1948240000002</v>
      </c>
      <c r="E56">
        <v>-99999</v>
      </c>
      <c r="F56">
        <v>5531.773193</v>
      </c>
      <c r="G56">
        <v>6773.2389700000003</v>
      </c>
      <c r="H56">
        <v>0</v>
      </c>
      <c r="I56">
        <v>-99999</v>
      </c>
      <c r="J56">
        <v>-99999</v>
      </c>
      <c r="K56">
        <v>5790.7948050000005</v>
      </c>
      <c r="L56">
        <v>74.895667000000003</v>
      </c>
      <c r="M56">
        <v>0</v>
      </c>
      <c r="N56">
        <v>-99999</v>
      </c>
      <c r="O56">
        <v>-99999</v>
      </c>
      <c r="P56">
        <v>-99999</v>
      </c>
    </row>
    <row r="57" spans="1:16" x14ac:dyDescent="0.3">
      <c r="A57" s="3">
        <v>46158.289768518516</v>
      </c>
      <c r="B57">
        <v>-99999</v>
      </c>
      <c r="C57">
        <v>65.186396000000002</v>
      </c>
      <c r="D57">
        <v>-99999</v>
      </c>
      <c r="E57">
        <v>126.83828</v>
      </c>
      <c r="F57">
        <v>-99999</v>
      </c>
      <c r="G57">
        <v>-99999</v>
      </c>
      <c r="H57">
        <v>8976.0247490000002</v>
      </c>
      <c r="I57">
        <v>-99999</v>
      </c>
      <c r="J57">
        <v>-99999</v>
      </c>
      <c r="K57">
        <v>2391.9393789999999</v>
      </c>
      <c r="L57">
        <v>-99999</v>
      </c>
      <c r="M57">
        <v>0</v>
      </c>
      <c r="N57">
        <v>-99999</v>
      </c>
      <c r="O57">
        <v>-99999</v>
      </c>
      <c r="P57">
        <v>-99999</v>
      </c>
    </row>
    <row r="58" spans="1:16" x14ac:dyDescent="0.3">
      <c r="A58" s="3">
        <v>46159.333333333336</v>
      </c>
      <c r="B58">
        <v>-99999</v>
      </c>
      <c r="C58">
        <v>-99999</v>
      </c>
      <c r="D58">
        <v>-99999</v>
      </c>
      <c r="E58">
        <v>-99999</v>
      </c>
      <c r="F58">
        <v>-99999</v>
      </c>
      <c r="G58">
        <v>-99999</v>
      </c>
      <c r="H58">
        <v>-99999</v>
      </c>
      <c r="I58">
        <v>-99999</v>
      </c>
      <c r="J58">
        <v>-99999</v>
      </c>
      <c r="K58">
        <v>0</v>
      </c>
      <c r="L58">
        <v>0</v>
      </c>
      <c r="M58">
        <v>0</v>
      </c>
      <c r="N58">
        <v>-99999</v>
      </c>
      <c r="O58">
        <v>-99999</v>
      </c>
      <c r="P58">
        <v>-99999</v>
      </c>
    </row>
    <row r="59" spans="1:16" x14ac:dyDescent="0.3">
      <c r="A59" s="3">
        <v>46160.256782407407</v>
      </c>
      <c r="B59">
        <v>-99999</v>
      </c>
      <c r="C59">
        <v>74.062537000000006</v>
      </c>
      <c r="D59">
        <v>-99999</v>
      </c>
      <c r="E59">
        <v>126.39473</v>
      </c>
      <c r="F59">
        <v>1519.3661199999999</v>
      </c>
      <c r="G59">
        <v>-99999</v>
      </c>
      <c r="H59">
        <v>15430.736849999999</v>
      </c>
      <c r="I59">
        <v>-99999</v>
      </c>
      <c r="J59">
        <v>-99999</v>
      </c>
      <c r="K59">
        <v>15480.97553</v>
      </c>
      <c r="L59">
        <v>164.564718</v>
      </c>
      <c r="M59">
        <v>0</v>
      </c>
      <c r="N59">
        <v>-99999</v>
      </c>
      <c r="O59">
        <v>-99999</v>
      </c>
      <c r="P59">
        <v>-99999</v>
      </c>
    </row>
    <row r="60" spans="1:16" x14ac:dyDescent="0.3">
      <c r="A60" s="3">
        <v>46161.253310185188</v>
      </c>
      <c r="B60">
        <v>-99999</v>
      </c>
      <c r="C60">
        <v>74.441171999999995</v>
      </c>
      <c r="D60">
        <v>-99999</v>
      </c>
      <c r="E60">
        <v>126.177223</v>
      </c>
      <c r="F60">
        <v>1512.354879</v>
      </c>
      <c r="G60">
        <v>-99999</v>
      </c>
      <c r="H60">
        <v>15422.223172</v>
      </c>
      <c r="I60">
        <v>163.12872999999999</v>
      </c>
      <c r="J60">
        <v>0</v>
      </c>
      <c r="K60">
        <v>15483.31574</v>
      </c>
      <c r="L60">
        <v>164.237346</v>
      </c>
      <c r="M60">
        <v>0</v>
      </c>
      <c r="N60">
        <v>0.188444</v>
      </c>
      <c r="O60">
        <v>0</v>
      </c>
      <c r="P60">
        <v>2554.9385729999999</v>
      </c>
    </row>
    <row r="61" spans="1:16" x14ac:dyDescent="0.3">
      <c r="A61" s="3">
        <v>46162.256782407407</v>
      </c>
      <c r="B61">
        <v>-99999</v>
      </c>
      <c r="C61">
        <v>74.306515000000005</v>
      </c>
      <c r="D61">
        <v>-99999</v>
      </c>
      <c r="E61">
        <v>125.98020200000001</v>
      </c>
      <c r="F61">
        <v>1504.5769660000001</v>
      </c>
      <c r="G61">
        <v>-99999</v>
      </c>
      <c r="H61">
        <v>15306.482677</v>
      </c>
      <c r="I61">
        <v>161.833032</v>
      </c>
      <c r="J61">
        <v>0</v>
      </c>
      <c r="K61">
        <v>15435.765041000001</v>
      </c>
      <c r="L61">
        <v>163.35169999999999</v>
      </c>
      <c r="M61">
        <v>0</v>
      </c>
      <c r="N61">
        <v>0.203932</v>
      </c>
      <c r="O61">
        <v>0</v>
      </c>
      <c r="P61">
        <v>2718.8521930000002</v>
      </c>
    </row>
    <row r="62" spans="1:16" x14ac:dyDescent="0.3">
      <c r="A62" s="3">
        <v>46163.253310185188</v>
      </c>
      <c r="B62">
        <v>-99999</v>
      </c>
      <c r="C62">
        <v>74.059815999999998</v>
      </c>
      <c r="D62">
        <v>-99999</v>
      </c>
      <c r="E62">
        <v>125.799538</v>
      </c>
      <c r="F62">
        <v>1497.4820090000001</v>
      </c>
      <c r="G62">
        <v>-99999</v>
      </c>
      <c r="H62">
        <v>15194.576224</v>
      </c>
      <c r="I62">
        <v>160.270433</v>
      </c>
      <c r="J62">
        <v>0</v>
      </c>
      <c r="K62">
        <v>15252.575932</v>
      </c>
      <c r="L62">
        <v>161.04589000000001</v>
      </c>
      <c r="M62">
        <v>0</v>
      </c>
      <c r="N62">
        <v>0.21913199999999999</v>
      </c>
      <c r="O62">
        <v>0</v>
      </c>
      <c r="P62">
        <v>2879.3361629999999</v>
      </c>
    </row>
    <row r="63" spans="1:16" x14ac:dyDescent="0.3">
      <c r="A63" s="3">
        <v>46164.251574074071</v>
      </c>
      <c r="B63">
        <v>-99999</v>
      </c>
      <c r="C63">
        <v>73.493709999999993</v>
      </c>
      <c r="D63">
        <v>-99999</v>
      </c>
      <c r="E63">
        <v>125.62307</v>
      </c>
      <c r="F63">
        <v>-99999</v>
      </c>
      <c r="G63">
        <v>-99999</v>
      </c>
      <c r="H63">
        <v>14922.944391000001</v>
      </c>
      <c r="I63">
        <v>-99999</v>
      </c>
      <c r="J63">
        <v>-99999</v>
      </c>
      <c r="K63">
        <v>15074.196830999999</v>
      </c>
      <c r="L63">
        <v>158.815831</v>
      </c>
      <c r="M63">
        <v>0</v>
      </c>
      <c r="N63">
        <v>-99999</v>
      </c>
      <c r="O63">
        <v>-99999</v>
      </c>
      <c r="P63">
        <v>-99999</v>
      </c>
    </row>
    <row r="64" spans="1:16" x14ac:dyDescent="0.3">
      <c r="A64" s="3">
        <v>46165.253310185188</v>
      </c>
      <c r="B64">
        <v>-99999</v>
      </c>
      <c r="C64">
        <v>74.022469000000001</v>
      </c>
      <c r="D64">
        <v>-99999</v>
      </c>
      <c r="E64">
        <v>125.45684799999999</v>
      </c>
      <c r="F64">
        <v>1482.6197589999999</v>
      </c>
      <c r="G64">
        <v>-99999</v>
      </c>
      <c r="H64">
        <v>14942.585421</v>
      </c>
      <c r="I64">
        <v>156.71949799999999</v>
      </c>
      <c r="J64">
        <v>0</v>
      </c>
      <c r="K64">
        <v>14987.999492999999</v>
      </c>
      <c r="L64">
        <v>157.520015</v>
      </c>
      <c r="M64">
        <v>0</v>
      </c>
      <c r="N64">
        <v>0.249138</v>
      </c>
      <c r="O64">
        <v>0</v>
      </c>
      <c r="P64">
        <v>3195.6384579999999</v>
      </c>
    </row>
    <row r="65" spans="1:16" x14ac:dyDescent="0.3">
      <c r="A65" s="3">
        <v>46166.253310185188</v>
      </c>
      <c r="B65">
        <v>-99999</v>
      </c>
      <c r="C65">
        <v>72.685851999999997</v>
      </c>
      <c r="D65">
        <v>-99999</v>
      </c>
      <c r="E65">
        <v>125.308487</v>
      </c>
      <c r="F65">
        <v>1475.0981079999999</v>
      </c>
      <c r="G65">
        <v>-99999</v>
      </c>
      <c r="H65">
        <v>14641.913645000001</v>
      </c>
      <c r="I65">
        <v>153.59518199999999</v>
      </c>
      <c r="J65">
        <v>0</v>
      </c>
      <c r="K65">
        <v>14877.633830000001</v>
      </c>
      <c r="L65">
        <v>156.00874400000001</v>
      </c>
      <c r="M65">
        <v>0</v>
      </c>
      <c r="N65">
        <v>0.26391399999999998</v>
      </c>
      <c r="O65">
        <v>0</v>
      </c>
      <c r="P65">
        <v>3351.6472020000001</v>
      </c>
    </row>
    <row r="66" spans="1:16" x14ac:dyDescent="0.3">
      <c r="A66" s="3">
        <v>46167.253310185188</v>
      </c>
      <c r="B66">
        <v>-99999</v>
      </c>
      <c r="C66">
        <v>73.248895000000005</v>
      </c>
      <c r="D66">
        <v>-99999</v>
      </c>
      <c r="E66">
        <v>125.162155</v>
      </c>
      <c r="F66">
        <v>1468.2783790000001</v>
      </c>
      <c r="G66">
        <v>-99999</v>
      </c>
      <c r="H66">
        <v>14676.496359000001</v>
      </c>
      <c r="I66">
        <v>152.92479900000001</v>
      </c>
      <c r="J66">
        <v>0</v>
      </c>
      <c r="K66">
        <v>14664.405588</v>
      </c>
      <c r="L66">
        <v>153.44430600000001</v>
      </c>
      <c r="M66">
        <v>0</v>
      </c>
      <c r="N66">
        <v>0.27857900000000002</v>
      </c>
      <c r="O66">
        <v>0</v>
      </c>
      <c r="P66">
        <v>3505.091508</v>
      </c>
    </row>
    <row r="67" spans="1:16" x14ac:dyDescent="0.3">
      <c r="A67" s="3">
        <v>46168.253310185188</v>
      </c>
      <c r="B67">
        <v>-99999</v>
      </c>
      <c r="C67">
        <v>73.005493999999999</v>
      </c>
      <c r="D67">
        <v>-99999</v>
      </c>
      <c r="E67">
        <v>125.025215</v>
      </c>
      <c r="F67">
        <v>1463.6409639999999</v>
      </c>
      <c r="G67">
        <v>-99999</v>
      </c>
      <c r="H67">
        <v>14517.599817</v>
      </c>
      <c r="I67">
        <v>150.81156999999999</v>
      </c>
      <c r="J67">
        <v>0</v>
      </c>
      <c r="K67">
        <v>14553.317309</v>
      </c>
      <c r="L67">
        <v>151.91308900000001</v>
      </c>
      <c r="M67">
        <v>0</v>
      </c>
      <c r="N67">
        <v>0.29308200000000001</v>
      </c>
      <c r="O67">
        <v>0</v>
      </c>
      <c r="P67">
        <v>3656.4809449999998</v>
      </c>
    </row>
    <row r="68" spans="1:16" x14ac:dyDescent="0.3">
      <c r="A68" s="3">
        <v>46169.25</v>
      </c>
      <c r="B68">
        <v>-99999</v>
      </c>
      <c r="C68">
        <v>-99999</v>
      </c>
      <c r="D68">
        <v>-99999</v>
      </c>
      <c r="E68">
        <v>-99999</v>
      </c>
      <c r="F68">
        <v>-99999</v>
      </c>
      <c r="G68">
        <v>-99999</v>
      </c>
      <c r="H68">
        <v>14400.536727000001</v>
      </c>
      <c r="I68">
        <v>-99999</v>
      </c>
      <c r="J68">
        <v>-99999</v>
      </c>
      <c r="K68">
        <v>14486.326099</v>
      </c>
      <c r="L68">
        <v>150.87062599999999</v>
      </c>
      <c r="M68">
        <v>0</v>
      </c>
      <c r="N68">
        <v>-99999</v>
      </c>
      <c r="O68">
        <v>-99999</v>
      </c>
      <c r="P68">
        <v>-99999</v>
      </c>
    </row>
    <row r="69" spans="1:16" x14ac:dyDescent="0.3">
      <c r="A69" s="3">
        <v>46170.253310185188</v>
      </c>
      <c r="B69">
        <v>-99999</v>
      </c>
      <c r="C69">
        <v>72.416618999999997</v>
      </c>
      <c r="D69">
        <v>-99999</v>
      </c>
      <c r="E69">
        <v>124.77565</v>
      </c>
      <c r="F69">
        <v>1451.152936</v>
      </c>
      <c r="G69">
        <v>-99999</v>
      </c>
      <c r="H69">
        <v>14294.139370000001</v>
      </c>
      <c r="I69">
        <v>147.37016700000001</v>
      </c>
      <c r="J69">
        <v>0</v>
      </c>
      <c r="K69">
        <v>14340.859657999999</v>
      </c>
      <c r="L69">
        <v>149.027964</v>
      </c>
      <c r="M69">
        <v>0</v>
      </c>
      <c r="N69">
        <v>0.32186300000000001</v>
      </c>
      <c r="O69">
        <v>0</v>
      </c>
      <c r="P69">
        <v>3956.9285629999999</v>
      </c>
    </row>
    <row r="70" spans="1:16" x14ac:dyDescent="0.3">
      <c r="A70" s="3">
        <v>46171.253310185188</v>
      </c>
      <c r="B70">
        <v>-99999</v>
      </c>
      <c r="C70">
        <v>74.080804000000001</v>
      </c>
      <c r="D70">
        <v>-99999</v>
      </c>
      <c r="E70">
        <v>125.684921</v>
      </c>
      <c r="F70">
        <v>-99999</v>
      </c>
      <c r="G70">
        <v>-99999</v>
      </c>
      <c r="H70">
        <v>0</v>
      </c>
      <c r="I70">
        <v>0</v>
      </c>
      <c r="J70">
        <v>0</v>
      </c>
      <c r="K70">
        <v>10007.833745</v>
      </c>
      <c r="L70">
        <v>108.898922</v>
      </c>
      <c r="M70">
        <v>0</v>
      </c>
      <c r="N70">
        <v>0.32894400000000001</v>
      </c>
      <c r="O70">
        <v>0</v>
      </c>
      <c r="P70">
        <v>4065.8274849999998</v>
      </c>
    </row>
    <row r="71" spans="1:16" x14ac:dyDescent="0.3">
      <c r="A71" s="3">
        <v>46172.253310185188</v>
      </c>
      <c r="B71">
        <v>-99999</v>
      </c>
      <c r="C71">
        <v>-99999</v>
      </c>
      <c r="D71">
        <v>-99999</v>
      </c>
      <c r="E71">
        <v>125.846176</v>
      </c>
      <c r="F71">
        <v>-99999</v>
      </c>
      <c r="G71">
        <v>-99999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0.32894400000000001</v>
      </c>
      <c r="O71">
        <v>0</v>
      </c>
      <c r="P71">
        <v>4065.8274849999998</v>
      </c>
    </row>
    <row r="72" spans="1:16" x14ac:dyDescent="0.3">
      <c r="A72" s="3">
        <v>46173.333333333336</v>
      </c>
      <c r="B72">
        <v>-99999</v>
      </c>
      <c r="C72">
        <v>-99999</v>
      </c>
      <c r="D72">
        <v>-99999</v>
      </c>
      <c r="E72">
        <v>-99999</v>
      </c>
      <c r="F72">
        <v>-99999</v>
      </c>
      <c r="G72">
        <v>-99999</v>
      </c>
      <c r="H72">
        <v>-99999</v>
      </c>
      <c r="I72">
        <v>-99999</v>
      </c>
      <c r="J72">
        <v>-99999</v>
      </c>
      <c r="K72">
        <v>0</v>
      </c>
      <c r="L72">
        <v>0</v>
      </c>
      <c r="M72">
        <v>0</v>
      </c>
      <c r="N72">
        <v>-99999</v>
      </c>
      <c r="O72">
        <v>-99999</v>
      </c>
      <c r="P72">
        <v>-99999</v>
      </c>
    </row>
    <row r="73" spans="1:16" x14ac:dyDescent="0.3">
      <c r="A73" s="3">
        <v>46174.25</v>
      </c>
      <c r="B73">
        <v>4413.3823240000002</v>
      </c>
      <c r="C73">
        <v>69.250938000000005</v>
      </c>
      <c r="D73">
        <v>5897.3007809999999</v>
      </c>
      <c r="E73">
        <v>-99999</v>
      </c>
      <c r="F73">
        <v>1483.918457</v>
      </c>
      <c r="G73">
        <v>5923.4364699999996</v>
      </c>
      <c r="H73">
        <v>13364.292987000001</v>
      </c>
      <c r="I73">
        <v>-99999</v>
      </c>
      <c r="J73">
        <v>-99999</v>
      </c>
      <c r="K73">
        <v>7540.4241899999997</v>
      </c>
      <c r="L73">
        <v>85.969194000000002</v>
      </c>
      <c r="M73">
        <v>0</v>
      </c>
      <c r="N73">
        <v>-99999</v>
      </c>
      <c r="O73">
        <v>-99999</v>
      </c>
      <c r="P73">
        <v>-99999</v>
      </c>
    </row>
    <row r="74" spans="1:16" x14ac:dyDescent="0.3">
      <c r="A74" s="3">
        <v>46175.253310185188</v>
      </c>
      <c r="B74">
        <v>-99999</v>
      </c>
      <c r="C74">
        <v>78.266914</v>
      </c>
      <c r="D74">
        <v>-99999</v>
      </c>
      <c r="E74">
        <v>125.87865499999999</v>
      </c>
      <c r="F74">
        <v>6279.7579729999998</v>
      </c>
      <c r="G74">
        <v>-99999</v>
      </c>
      <c r="H74">
        <v>0</v>
      </c>
      <c r="I74">
        <v>0</v>
      </c>
      <c r="J74">
        <v>0</v>
      </c>
      <c r="K74">
        <v>2507.0011060000002</v>
      </c>
      <c r="L74">
        <v>30.229755999999998</v>
      </c>
      <c r="M74">
        <v>0</v>
      </c>
      <c r="N74">
        <v>0.33653100000000002</v>
      </c>
      <c r="O74">
        <v>0</v>
      </c>
      <c r="P74">
        <v>4161.1311450000003</v>
      </c>
    </row>
    <row r="75" spans="1:16" x14ac:dyDescent="0.3">
      <c r="A75" s="3">
        <v>46176.253310185188</v>
      </c>
      <c r="B75">
        <v>-99999</v>
      </c>
      <c r="C75">
        <v>65.965203000000002</v>
      </c>
      <c r="D75">
        <v>-99999</v>
      </c>
      <c r="E75">
        <v>125.599991</v>
      </c>
      <c r="F75">
        <v>-99999</v>
      </c>
      <c r="G75">
        <v>-99999</v>
      </c>
      <c r="H75">
        <v>13381.285556000001</v>
      </c>
      <c r="I75">
        <v>160.13489100000001</v>
      </c>
      <c r="J75">
        <v>0</v>
      </c>
      <c r="K75">
        <v>5005.0648300000003</v>
      </c>
      <c r="L75">
        <v>59.997664999999998</v>
      </c>
      <c r="M75">
        <v>0</v>
      </c>
      <c r="N75">
        <v>0.34153600000000001</v>
      </c>
      <c r="O75">
        <v>0</v>
      </c>
      <c r="P75">
        <v>4221.1288100000002</v>
      </c>
    </row>
    <row r="76" spans="1:16" x14ac:dyDescent="0.3">
      <c r="A76" s="3">
        <v>46177.253310185188</v>
      </c>
      <c r="B76">
        <v>-99999</v>
      </c>
      <c r="C76">
        <v>70.927268999999995</v>
      </c>
      <c r="D76">
        <v>-99999</v>
      </c>
      <c r="E76">
        <v>125.472481</v>
      </c>
      <c r="F76">
        <v>1480.943577</v>
      </c>
      <c r="G76">
        <v>-99999</v>
      </c>
      <c r="H76">
        <v>13119.998981000001</v>
      </c>
      <c r="I76">
        <v>154.141008</v>
      </c>
      <c r="J76">
        <v>0</v>
      </c>
      <c r="K76">
        <v>13267.656822999999</v>
      </c>
      <c r="L76">
        <v>158.63017300000001</v>
      </c>
      <c r="M76">
        <v>0</v>
      </c>
      <c r="N76">
        <v>0.35475800000000002</v>
      </c>
      <c r="O76">
        <v>0</v>
      </c>
      <c r="P76">
        <v>4379.7589829999997</v>
      </c>
    </row>
    <row r="77" spans="1:16" x14ac:dyDescent="0.3">
      <c r="A77" s="3">
        <v>46178.25</v>
      </c>
      <c r="B77">
        <v>-99999</v>
      </c>
      <c r="C77">
        <v>-99999</v>
      </c>
      <c r="D77">
        <v>-99999</v>
      </c>
      <c r="E77">
        <v>-99999</v>
      </c>
      <c r="F77">
        <v>-99999</v>
      </c>
      <c r="G77">
        <v>-99999</v>
      </c>
      <c r="H77">
        <v>-99999</v>
      </c>
      <c r="I77">
        <v>193.70448999999999</v>
      </c>
      <c r="J77">
        <v>0</v>
      </c>
      <c r="K77">
        <v>12915.758771999999</v>
      </c>
      <c r="L77">
        <v>153.95976200000001</v>
      </c>
      <c r="M77">
        <v>0</v>
      </c>
      <c r="N77">
        <v>0.36965500000000001</v>
      </c>
      <c r="O77">
        <v>0</v>
      </c>
      <c r="P77">
        <v>4560.167058</v>
      </c>
    </row>
    <row r="78" spans="1:16" x14ac:dyDescent="0.3">
      <c r="A78" s="3">
        <v>46179.333333333336</v>
      </c>
      <c r="B78">
        <v>4261.3999999999996</v>
      </c>
      <c r="C78">
        <v>73.345108999999994</v>
      </c>
      <c r="D78">
        <v>5728.2544779999998</v>
      </c>
      <c r="E78">
        <v>-99999</v>
      </c>
      <c r="F78">
        <v>1466.854478</v>
      </c>
      <c r="G78">
        <v>-99999</v>
      </c>
      <c r="H78">
        <v>15137.199219</v>
      </c>
      <c r="I78">
        <v>167.028628</v>
      </c>
      <c r="J78">
        <v>0</v>
      </c>
      <c r="K78">
        <v>16285.144498</v>
      </c>
      <c r="L78">
        <v>193.70448999999999</v>
      </c>
      <c r="M78">
        <v>0</v>
      </c>
      <c r="N78">
        <v>0.38479200000000002</v>
      </c>
      <c r="O78">
        <v>0</v>
      </c>
      <c r="P78">
        <v>4727.195686</v>
      </c>
    </row>
    <row r="79" spans="1:16" x14ac:dyDescent="0.3">
      <c r="A79" s="3">
        <v>46180.25</v>
      </c>
      <c r="B79">
        <v>-99999</v>
      </c>
      <c r="C79">
        <v>-99999</v>
      </c>
      <c r="D79">
        <v>-99999</v>
      </c>
      <c r="E79">
        <v>-99999</v>
      </c>
      <c r="F79">
        <v>-99999</v>
      </c>
      <c r="G79">
        <v>-99999</v>
      </c>
      <c r="H79">
        <v>-99999</v>
      </c>
      <c r="I79">
        <v>-99999</v>
      </c>
      <c r="J79">
        <v>-99999</v>
      </c>
      <c r="K79">
        <v>15137.199219</v>
      </c>
      <c r="L79">
        <v>167.028628</v>
      </c>
      <c r="M79">
        <v>0</v>
      </c>
      <c r="N79">
        <v>-99999</v>
      </c>
      <c r="O79">
        <v>-99999</v>
      </c>
      <c r="P79">
        <v>-99999</v>
      </c>
    </row>
    <row r="80" spans="1:16" x14ac:dyDescent="0.3">
      <c r="A80" s="3">
        <v>46181.250127314815</v>
      </c>
      <c r="B80">
        <v>-99999</v>
      </c>
      <c r="C80">
        <v>73.146507</v>
      </c>
      <c r="D80">
        <v>5662.1206050000001</v>
      </c>
      <c r="E80">
        <v>-99999</v>
      </c>
      <c r="F80">
        <v>1466.3128300000001</v>
      </c>
      <c r="G80">
        <v>-99999</v>
      </c>
      <c r="H80">
        <v>15122.956055000001</v>
      </c>
      <c r="I80">
        <v>147.328249</v>
      </c>
      <c r="J80">
        <v>0</v>
      </c>
      <c r="K80">
        <v>15125.804662</v>
      </c>
      <c r="L80">
        <v>147.81762599999999</v>
      </c>
      <c r="M80">
        <v>0</v>
      </c>
      <c r="N80">
        <v>0.41350999999999999</v>
      </c>
      <c r="O80">
        <v>0</v>
      </c>
      <c r="P80">
        <v>5013.1428400000004</v>
      </c>
    </row>
    <row r="81" spans="1:16" x14ac:dyDescent="0.3">
      <c r="A81" s="3">
        <v>46182.250127314815</v>
      </c>
      <c r="B81">
        <v>4172.4184569999998</v>
      </c>
      <c r="C81">
        <v>73.071329000000006</v>
      </c>
      <c r="D81">
        <v>5617.2890630000002</v>
      </c>
      <c r="E81">
        <v>-99999</v>
      </c>
      <c r="F81">
        <v>1444.870606</v>
      </c>
      <c r="G81">
        <v>-99999</v>
      </c>
      <c r="H81">
        <v>15006.422959</v>
      </c>
      <c r="I81">
        <v>143.601686</v>
      </c>
      <c r="J81">
        <v>0</v>
      </c>
      <c r="K81">
        <v>15076.162464000001</v>
      </c>
      <c r="L81">
        <v>145.61128500000001</v>
      </c>
      <c r="M81">
        <v>0</v>
      </c>
      <c r="N81">
        <v>0.42818400000000001</v>
      </c>
      <c r="O81">
        <v>0</v>
      </c>
      <c r="P81">
        <v>5158.7535440000001</v>
      </c>
    </row>
    <row r="82" spans="1:16" x14ac:dyDescent="0.3">
      <c r="A82" s="3">
        <v>46183.250127314815</v>
      </c>
      <c r="B82">
        <v>4139.4414059999999</v>
      </c>
      <c r="C82">
        <v>72.941775000000007</v>
      </c>
      <c r="D82">
        <v>5577.5097660000001</v>
      </c>
      <c r="E82">
        <v>-99999</v>
      </c>
      <c r="F82">
        <v>1438.06836</v>
      </c>
      <c r="G82">
        <v>-99999</v>
      </c>
      <c r="H82">
        <v>14932.843315</v>
      </c>
      <c r="I82">
        <v>140.31898799999999</v>
      </c>
      <c r="J82">
        <v>0</v>
      </c>
      <c r="K82">
        <v>15015.429249999999</v>
      </c>
      <c r="L82">
        <v>142.39219700000001</v>
      </c>
      <c r="M82">
        <v>0</v>
      </c>
      <c r="N82">
        <v>0.44319900000000001</v>
      </c>
      <c r="O82">
        <v>0</v>
      </c>
      <c r="P82">
        <v>5301.145141</v>
      </c>
    </row>
    <row r="83" spans="1:16" x14ac:dyDescent="0.3">
      <c r="A83" s="3">
        <v>46184.333333333336</v>
      </c>
      <c r="B83">
        <v>4122.3999999999996</v>
      </c>
      <c r="C83">
        <v>-99999</v>
      </c>
      <c r="D83">
        <v>5555.9063939999996</v>
      </c>
      <c r="E83">
        <v>-99999</v>
      </c>
      <c r="F83">
        <v>1433.506394</v>
      </c>
      <c r="G83">
        <v>-99999</v>
      </c>
      <c r="H83">
        <v>14876.519919</v>
      </c>
      <c r="I83">
        <v>137.00712799999999</v>
      </c>
      <c r="J83">
        <v>0</v>
      </c>
      <c r="K83">
        <v>14959.615841000001</v>
      </c>
      <c r="L83">
        <v>139.35359800000001</v>
      </c>
      <c r="M83">
        <v>0</v>
      </c>
      <c r="N83">
        <v>0.45938000000000001</v>
      </c>
      <c r="O83">
        <v>0</v>
      </c>
      <c r="P83">
        <v>5451.6255650000003</v>
      </c>
    </row>
    <row r="84" spans="1:16" x14ac:dyDescent="0.3">
      <c r="A84" s="3">
        <v>46185.333333333336</v>
      </c>
      <c r="B84">
        <v>4099.3999999999996</v>
      </c>
      <c r="C84">
        <v>-99999</v>
      </c>
      <c r="D84">
        <v>5526.6222010000001</v>
      </c>
      <c r="E84">
        <v>-99999</v>
      </c>
      <c r="F84">
        <v>1427.222201</v>
      </c>
      <c r="G84">
        <v>-99999</v>
      </c>
      <c r="H84">
        <v>14721.567445000001</v>
      </c>
      <c r="I84">
        <v>133.037969</v>
      </c>
      <c r="J84">
        <v>0</v>
      </c>
      <c r="K84">
        <v>14876.519919</v>
      </c>
      <c r="L84">
        <v>137.00712799999999</v>
      </c>
      <c r="M84">
        <v>0</v>
      </c>
      <c r="N84">
        <v>0.47410200000000002</v>
      </c>
      <c r="O84">
        <v>0</v>
      </c>
      <c r="P84">
        <v>5584.6635340000003</v>
      </c>
    </row>
    <row r="85" spans="1:16" x14ac:dyDescent="0.3">
      <c r="A85" s="3">
        <v>46186.281666666669</v>
      </c>
      <c r="B85">
        <v>4086.6391600000002</v>
      </c>
      <c r="C85">
        <v>72.549025999999998</v>
      </c>
      <c r="D85">
        <v>5509.8486329999996</v>
      </c>
      <c r="E85">
        <v>124.160782</v>
      </c>
      <c r="F85">
        <v>1423.2094729999999</v>
      </c>
      <c r="G85">
        <v>-99999</v>
      </c>
      <c r="H85">
        <v>14670.263295000001</v>
      </c>
      <c r="I85">
        <v>130.17197400000001</v>
      </c>
      <c r="J85">
        <v>0</v>
      </c>
      <c r="K85">
        <v>14721.567445000001</v>
      </c>
      <c r="L85">
        <v>133.037969</v>
      </c>
      <c r="M85">
        <v>0</v>
      </c>
      <c r="N85">
        <v>0.488014</v>
      </c>
      <c r="O85">
        <v>0</v>
      </c>
      <c r="P85">
        <v>5708.1099549999999</v>
      </c>
    </row>
    <row r="86" spans="1:16" x14ac:dyDescent="0.3">
      <c r="A86" s="3">
        <v>46187.25</v>
      </c>
      <c r="B86">
        <v>-99999</v>
      </c>
      <c r="C86">
        <v>72.532927999999998</v>
      </c>
      <c r="D86">
        <v>-99999</v>
      </c>
      <c r="E86">
        <v>-99999</v>
      </c>
      <c r="F86">
        <v>1417.8017580000001</v>
      </c>
      <c r="G86">
        <v>-99999</v>
      </c>
      <c r="H86">
        <v>14639.469106</v>
      </c>
      <c r="I86">
        <v>-99999</v>
      </c>
      <c r="J86">
        <v>-99999</v>
      </c>
      <c r="K86">
        <v>14628.169447</v>
      </c>
      <c r="L86">
        <v>128.57648399999999</v>
      </c>
      <c r="M86">
        <v>0</v>
      </c>
      <c r="N86">
        <v>-99999</v>
      </c>
      <c r="O86">
        <v>-99999</v>
      </c>
      <c r="P86">
        <v>-99999</v>
      </c>
    </row>
    <row r="87" spans="1:16" x14ac:dyDescent="0.3">
      <c r="A87" s="3">
        <v>46188.25</v>
      </c>
      <c r="B87">
        <v>-99999</v>
      </c>
      <c r="C87">
        <v>72.344489999999993</v>
      </c>
      <c r="D87">
        <v>-99999</v>
      </c>
      <c r="E87">
        <v>-99999</v>
      </c>
      <c r="F87">
        <v>1411.8900679999999</v>
      </c>
      <c r="G87">
        <v>-99999</v>
      </c>
      <c r="H87">
        <v>14543.564836</v>
      </c>
      <c r="I87">
        <v>-99999</v>
      </c>
      <c r="J87">
        <v>-99999</v>
      </c>
      <c r="K87">
        <v>14617.203191000001</v>
      </c>
      <c r="L87">
        <v>125.994595</v>
      </c>
      <c r="M87">
        <v>0</v>
      </c>
      <c r="N87">
        <v>-99999</v>
      </c>
      <c r="O87">
        <v>-99999</v>
      </c>
      <c r="P87">
        <v>-99999</v>
      </c>
    </row>
    <row r="88" spans="1:16" x14ac:dyDescent="0.3">
      <c r="A88" s="3">
        <v>46189.25</v>
      </c>
      <c r="B88">
        <v>-99999</v>
      </c>
      <c r="C88">
        <v>72.281677000000002</v>
      </c>
      <c r="D88">
        <v>-99999</v>
      </c>
      <c r="E88">
        <v>-99999</v>
      </c>
      <c r="F88">
        <v>1408.5896</v>
      </c>
      <c r="G88">
        <v>-99999</v>
      </c>
      <c r="H88">
        <v>14629.779214</v>
      </c>
      <c r="I88">
        <v>-99999</v>
      </c>
      <c r="J88">
        <v>-99999</v>
      </c>
      <c r="K88">
        <v>14584.753288</v>
      </c>
      <c r="L88">
        <v>123.196298</v>
      </c>
      <c r="M88">
        <v>0</v>
      </c>
      <c r="N88">
        <v>-99999</v>
      </c>
      <c r="O88">
        <v>-99999</v>
      </c>
      <c r="P88">
        <v>-99999</v>
      </c>
    </row>
    <row r="89" spans="1:16" x14ac:dyDescent="0.3">
      <c r="A89" s="3">
        <v>46190.25</v>
      </c>
      <c r="B89">
        <v>-99999</v>
      </c>
      <c r="C89">
        <v>72.207085000000006</v>
      </c>
      <c r="D89">
        <v>-99999</v>
      </c>
      <c r="E89">
        <v>-99999</v>
      </c>
      <c r="F89">
        <v>1403.0420999999999</v>
      </c>
      <c r="G89">
        <v>-99999</v>
      </c>
      <c r="H89">
        <v>14560.803101</v>
      </c>
      <c r="I89">
        <v>-99999</v>
      </c>
      <c r="J89">
        <v>-99999</v>
      </c>
      <c r="K89">
        <v>14609.456657999999</v>
      </c>
      <c r="L89">
        <v>120.84053400000001</v>
      </c>
      <c r="M89">
        <v>0</v>
      </c>
      <c r="N89">
        <v>-99999</v>
      </c>
      <c r="O89">
        <v>-99999</v>
      </c>
      <c r="P89">
        <v>-99999</v>
      </c>
    </row>
    <row r="90" spans="1:16" x14ac:dyDescent="0.3">
      <c r="A90" s="3">
        <v>46191.25</v>
      </c>
      <c r="B90">
        <v>-99999</v>
      </c>
      <c r="C90">
        <v>72.580039999999997</v>
      </c>
      <c r="D90">
        <v>-99999</v>
      </c>
      <c r="E90">
        <v>-99999</v>
      </c>
      <c r="F90">
        <v>1398.25125</v>
      </c>
      <c r="G90">
        <v>-99999</v>
      </c>
      <c r="H90">
        <v>14615.468314</v>
      </c>
      <c r="I90">
        <v>-99999</v>
      </c>
      <c r="J90">
        <v>-99999</v>
      </c>
      <c r="K90">
        <v>14647.175477000001</v>
      </c>
      <c r="L90">
        <v>118.664767</v>
      </c>
      <c r="M90">
        <v>0</v>
      </c>
      <c r="N90">
        <v>-99999</v>
      </c>
      <c r="O90">
        <v>-99999</v>
      </c>
      <c r="P90">
        <v>-99999</v>
      </c>
    </row>
    <row r="91" spans="1:16" x14ac:dyDescent="0.3">
      <c r="A91" s="3">
        <v>46192.25</v>
      </c>
      <c r="B91">
        <v>-99999</v>
      </c>
      <c r="C91">
        <v>72.407302999999999</v>
      </c>
      <c r="D91">
        <v>-99999</v>
      </c>
      <c r="E91">
        <v>-99999</v>
      </c>
      <c r="F91">
        <v>1394.52124</v>
      </c>
      <c r="G91">
        <v>-99999</v>
      </c>
      <c r="H91">
        <v>14651.184283000001</v>
      </c>
      <c r="I91">
        <v>-99999</v>
      </c>
      <c r="J91">
        <v>-99999</v>
      </c>
      <c r="K91">
        <v>14660.496669</v>
      </c>
      <c r="L91">
        <v>116.24256200000001</v>
      </c>
      <c r="M91">
        <v>0</v>
      </c>
      <c r="N91">
        <v>-99999</v>
      </c>
      <c r="O91">
        <v>-99999</v>
      </c>
      <c r="P91">
        <v>-99999</v>
      </c>
    </row>
    <row r="92" spans="1:16" x14ac:dyDescent="0.3">
      <c r="A92" s="3">
        <v>46193.333333333336</v>
      </c>
      <c r="B92">
        <v>3922.4</v>
      </c>
      <c r="C92">
        <v>-99999</v>
      </c>
      <c r="D92">
        <v>5313.2323919999999</v>
      </c>
      <c r="E92">
        <v>-99999</v>
      </c>
      <c r="F92">
        <v>1390.832392</v>
      </c>
      <c r="G92">
        <v>-99999</v>
      </c>
      <c r="H92">
        <v>14778.58885</v>
      </c>
      <c r="I92">
        <v>113.13765100000001</v>
      </c>
      <c r="J92">
        <v>0</v>
      </c>
      <c r="K92">
        <v>14490.309469</v>
      </c>
      <c r="L92">
        <v>113.34451799999999</v>
      </c>
      <c r="M92">
        <v>0</v>
      </c>
      <c r="N92">
        <v>0.57685299999999995</v>
      </c>
      <c r="O92">
        <v>0</v>
      </c>
      <c r="P92">
        <v>6560.2556119999999</v>
      </c>
    </row>
    <row r="93" spans="1:16" x14ac:dyDescent="0.3">
      <c r="A93" s="3">
        <v>46194.25</v>
      </c>
      <c r="B93">
        <v>-99999</v>
      </c>
      <c r="C93">
        <v>71.908721999999997</v>
      </c>
      <c r="D93">
        <v>-99999</v>
      </c>
      <c r="E93">
        <v>-99999</v>
      </c>
      <c r="F93">
        <v>1385.6704110000001</v>
      </c>
      <c r="G93">
        <v>-99999</v>
      </c>
      <c r="H93">
        <v>14580.476102000001</v>
      </c>
      <c r="I93">
        <v>-99999</v>
      </c>
      <c r="J93">
        <v>-99999</v>
      </c>
      <c r="K93">
        <v>14608.280076999999</v>
      </c>
      <c r="L93">
        <v>110.708426</v>
      </c>
      <c r="M93">
        <v>0</v>
      </c>
      <c r="N93">
        <v>-99999</v>
      </c>
      <c r="O93">
        <v>-99999</v>
      </c>
      <c r="P93">
        <v>-99999</v>
      </c>
    </row>
    <row r="94" spans="1:16" x14ac:dyDescent="0.3">
      <c r="A94" s="3">
        <v>46195.25</v>
      </c>
      <c r="B94">
        <v>-99999</v>
      </c>
      <c r="C94">
        <v>71.716353999999995</v>
      </c>
      <c r="D94">
        <v>-99999</v>
      </c>
      <c r="E94">
        <v>-99999</v>
      </c>
      <c r="F94">
        <v>1382.3042869999999</v>
      </c>
      <c r="G94">
        <v>-99999</v>
      </c>
      <c r="H94">
        <v>14630.536651</v>
      </c>
      <c r="I94">
        <v>-99999</v>
      </c>
      <c r="J94">
        <v>-99999</v>
      </c>
      <c r="K94">
        <v>14621.320454000001</v>
      </c>
      <c r="L94">
        <v>108.356238</v>
      </c>
      <c r="M94">
        <v>0</v>
      </c>
      <c r="N94">
        <v>-99999</v>
      </c>
      <c r="O94">
        <v>-99999</v>
      </c>
      <c r="P94">
        <v>-99999</v>
      </c>
    </row>
    <row r="95" spans="1:16" x14ac:dyDescent="0.3">
      <c r="A95" s="3">
        <v>46196.25</v>
      </c>
      <c r="B95">
        <v>-99999</v>
      </c>
      <c r="C95">
        <v>71.280593999999994</v>
      </c>
      <c r="D95">
        <v>-99999</v>
      </c>
      <c r="E95">
        <v>-99999</v>
      </c>
      <c r="F95">
        <v>1378.272598</v>
      </c>
      <c r="G95">
        <v>-99999</v>
      </c>
      <c r="H95">
        <v>14555.197301</v>
      </c>
      <c r="I95">
        <v>-99999</v>
      </c>
      <c r="J95">
        <v>-99999</v>
      </c>
      <c r="K95">
        <v>14624.413858</v>
      </c>
      <c r="L95">
        <v>106.23476100000001</v>
      </c>
      <c r="M95">
        <v>0</v>
      </c>
      <c r="N95">
        <v>-99999</v>
      </c>
      <c r="O95">
        <v>-99999</v>
      </c>
      <c r="P95">
        <v>-99999</v>
      </c>
    </row>
    <row r="96" spans="1:16" x14ac:dyDescent="0.3">
      <c r="A96" s="3">
        <v>46197.25</v>
      </c>
      <c r="B96">
        <v>-99999</v>
      </c>
      <c r="C96">
        <v>-99999</v>
      </c>
      <c r="D96">
        <v>-99999</v>
      </c>
      <c r="E96">
        <v>-99999</v>
      </c>
      <c r="F96">
        <v>-99999</v>
      </c>
      <c r="G96">
        <v>-99999</v>
      </c>
      <c r="H96">
        <v>-99999</v>
      </c>
      <c r="I96">
        <v>-99999</v>
      </c>
      <c r="J96">
        <v>-99999</v>
      </c>
      <c r="K96">
        <v>14898.858423</v>
      </c>
      <c r="L96">
        <v>105.678361</v>
      </c>
      <c r="M96">
        <v>0</v>
      </c>
      <c r="N96">
        <v>-99999</v>
      </c>
      <c r="O96">
        <v>-99999</v>
      </c>
      <c r="P96">
        <v>-99999</v>
      </c>
    </row>
    <row r="97" spans="1:16" x14ac:dyDescent="0.3">
      <c r="A97" s="3">
        <v>46198.333333333336</v>
      </c>
      <c r="B97">
        <v>-99999</v>
      </c>
      <c r="C97">
        <v>-99999</v>
      </c>
      <c r="D97">
        <v>-99999</v>
      </c>
      <c r="E97">
        <v>-99999</v>
      </c>
      <c r="F97">
        <v>-99999</v>
      </c>
      <c r="G97">
        <v>-99999</v>
      </c>
      <c r="H97">
        <v>-99999</v>
      </c>
      <c r="I97">
        <v>-99999</v>
      </c>
      <c r="J97">
        <v>-99999</v>
      </c>
      <c r="K97">
        <v>15182.330797000001</v>
      </c>
      <c r="L97">
        <v>104.25803000000001</v>
      </c>
      <c r="M97">
        <v>0</v>
      </c>
      <c r="N97">
        <v>-99999</v>
      </c>
      <c r="O97">
        <v>-99999</v>
      </c>
      <c r="P97">
        <v>-99999</v>
      </c>
    </row>
    <row r="98" spans="1:16" x14ac:dyDescent="0.3">
      <c r="A98" s="3">
        <v>46199.25</v>
      </c>
      <c r="B98">
        <v>-99999</v>
      </c>
      <c r="C98">
        <v>71.704582000000002</v>
      </c>
      <c r="D98">
        <v>-99999</v>
      </c>
      <c r="E98">
        <v>-99999</v>
      </c>
      <c r="F98">
        <v>1365.592529</v>
      </c>
      <c r="G98">
        <v>-99999</v>
      </c>
      <c r="H98">
        <v>15282.709510000001</v>
      </c>
      <c r="I98">
        <v>-99999</v>
      </c>
      <c r="J98">
        <v>-99999</v>
      </c>
      <c r="K98">
        <v>15224.113502</v>
      </c>
      <c r="L98">
        <v>99.748414999999994</v>
      </c>
      <c r="M98">
        <v>0</v>
      </c>
      <c r="N98">
        <v>-99999</v>
      </c>
      <c r="O98">
        <v>-99999</v>
      </c>
      <c r="P98">
        <v>-99999</v>
      </c>
    </row>
    <row r="99" spans="1:16" x14ac:dyDescent="0.3">
      <c r="A99" s="3">
        <v>46200.25</v>
      </c>
      <c r="B99">
        <v>-99999</v>
      </c>
      <c r="C99">
        <v>71.704582000000002</v>
      </c>
      <c r="D99">
        <v>-99999</v>
      </c>
      <c r="E99">
        <v>-99999</v>
      </c>
      <c r="F99">
        <v>1360.358643</v>
      </c>
      <c r="G99">
        <v>-99999</v>
      </c>
      <c r="H99">
        <v>15319.485688999999</v>
      </c>
      <c r="I99">
        <v>-99999</v>
      </c>
      <c r="J99">
        <v>-99999</v>
      </c>
      <c r="K99">
        <v>15312.796673999999</v>
      </c>
      <c r="L99">
        <v>96.698577999999998</v>
      </c>
      <c r="M99">
        <v>0</v>
      </c>
      <c r="N99">
        <v>-99999</v>
      </c>
      <c r="O99">
        <v>-99999</v>
      </c>
      <c r="P99">
        <v>-99999</v>
      </c>
    </row>
    <row r="100" spans="1:16" x14ac:dyDescent="0.3">
      <c r="A100" s="3">
        <v>46201.25</v>
      </c>
      <c r="B100">
        <v>-99999</v>
      </c>
      <c r="C100">
        <v>71.665321000000006</v>
      </c>
      <c r="D100">
        <v>-99999</v>
      </c>
      <c r="E100">
        <v>-99999</v>
      </c>
      <c r="F100">
        <v>1355.687872</v>
      </c>
      <c r="G100">
        <v>-99999</v>
      </c>
      <c r="H100">
        <v>15399.903989</v>
      </c>
      <c r="I100">
        <v>-99999</v>
      </c>
      <c r="J100">
        <v>-99999</v>
      </c>
      <c r="K100">
        <v>15411.130077</v>
      </c>
      <c r="L100">
        <v>93.412159000000003</v>
      </c>
      <c r="M100">
        <v>0</v>
      </c>
      <c r="N100">
        <v>-99999</v>
      </c>
      <c r="O100">
        <v>-99999</v>
      </c>
      <c r="P100">
        <v>-99999</v>
      </c>
    </row>
    <row r="101" spans="1:16" x14ac:dyDescent="0.3">
      <c r="A101" s="3">
        <v>46202.333333333336</v>
      </c>
      <c r="B101">
        <v>3701.4</v>
      </c>
      <c r="C101">
        <v>-99999</v>
      </c>
      <c r="D101">
        <v>5052.1882530000003</v>
      </c>
      <c r="E101">
        <v>-99999</v>
      </c>
      <c r="F101">
        <v>1350.7882529999999</v>
      </c>
      <c r="G101">
        <v>5102.0767260000002</v>
      </c>
      <c r="H101">
        <v>15201.106077</v>
      </c>
      <c r="I101">
        <v>86.040649000000002</v>
      </c>
      <c r="J101">
        <v>0</v>
      </c>
      <c r="K101">
        <v>14053.021070000001</v>
      </c>
      <c r="L101">
        <v>81.639724000000001</v>
      </c>
      <c r="M101">
        <v>0</v>
      </c>
      <c r="N101">
        <v>0.71050800000000003</v>
      </c>
      <c r="O101">
        <v>0</v>
      </c>
      <c r="P101">
        <v>7462.8102019999997</v>
      </c>
    </row>
    <row r="102" spans="1:16" x14ac:dyDescent="0.3">
      <c r="A102" s="3">
        <v>46203.333333333336</v>
      </c>
      <c r="B102">
        <v>3682.4</v>
      </c>
      <c r="C102">
        <v>-99999</v>
      </c>
      <c r="D102">
        <v>-99999</v>
      </c>
      <c r="E102">
        <v>-99999</v>
      </c>
      <c r="F102">
        <v>-99999</v>
      </c>
      <c r="G102">
        <v>-99999</v>
      </c>
      <c r="H102">
        <v>-99999</v>
      </c>
      <c r="I102">
        <v>-99999</v>
      </c>
      <c r="J102">
        <v>-99999</v>
      </c>
      <c r="K102">
        <v>15748.216683000001</v>
      </c>
      <c r="L102">
        <v>86.282959000000005</v>
      </c>
      <c r="M102">
        <v>0</v>
      </c>
      <c r="N102">
        <v>-99999</v>
      </c>
      <c r="O102">
        <v>-99999</v>
      </c>
      <c r="P102">
        <v>-99999</v>
      </c>
    </row>
    <row r="103" spans="1:16" x14ac:dyDescent="0.3">
      <c r="A103" s="3">
        <v>46204.25</v>
      </c>
      <c r="B103">
        <v>-99999</v>
      </c>
      <c r="C103">
        <v>71.472954000000001</v>
      </c>
      <c r="D103">
        <v>-99999</v>
      </c>
      <c r="E103">
        <v>-99999</v>
      </c>
      <c r="F103">
        <v>1346.9612299999999</v>
      </c>
      <c r="G103">
        <v>-99999</v>
      </c>
      <c r="H103">
        <v>15689.961421</v>
      </c>
      <c r="I103">
        <v>-99999</v>
      </c>
      <c r="J103">
        <v>-99999</v>
      </c>
      <c r="K103">
        <v>15763.439495000001</v>
      </c>
      <c r="L103">
        <v>84.155557000000002</v>
      </c>
      <c r="M103">
        <v>0</v>
      </c>
      <c r="N103">
        <v>-99999</v>
      </c>
      <c r="O103">
        <v>-99999</v>
      </c>
      <c r="P103">
        <v>-99999</v>
      </c>
    </row>
    <row r="104" spans="1:16" x14ac:dyDescent="0.3">
      <c r="A104" s="3">
        <v>46205.25</v>
      </c>
      <c r="B104">
        <v>-99999</v>
      </c>
      <c r="C104">
        <v>71.272735999999995</v>
      </c>
      <c r="D104">
        <v>-99999</v>
      </c>
      <c r="E104">
        <v>-99999</v>
      </c>
      <c r="F104">
        <v>1342.6091309999999</v>
      </c>
      <c r="G104">
        <v>-99999</v>
      </c>
      <c r="H104">
        <v>15587.955797000001</v>
      </c>
      <c r="I104">
        <v>-99999</v>
      </c>
      <c r="J104">
        <v>-99999</v>
      </c>
      <c r="K104">
        <v>15683.951892999999</v>
      </c>
      <c r="L104">
        <v>83.132990000000007</v>
      </c>
      <c r="M104">
        <v>0</v>
      </c>
      <c r="N104">
        <v>-99999</v>
      </c>
      <c r="O104">
        <v>-99999</v>
      </c>
      <c r="P104">
        <v>-99999</v>
      </c>
    </row>
    <row r="105" spans="1:16" x14ac:dyDescent="0.3">
      <c r="A105" s="3">
        <v>46206.333333333336</v>
      </c>
      <c r="B105">
        <v>-99999</v>
      </c>
      <c r="C105">
        <v>-99999</v>
      </c>
      <c r="D105">
        <v>-99999</v>
      </c>
      <c r="E105">
        <v>-99999</v>
      </c>
      <c r="F105">
        <v>-99999</v>
      </c>
      <c r="G105">
        <v>-99999</v>
      </c>
      <c r="H105">
        <v>-99999</v>
      </c>
      <c r="I105">
        <v>-99999</v>
      </c>
      <c r="J105">
        <v>-99999</v>
      </c>
      <c r="K105">
        <v>15584.378064</v>
      </c>
      <c r="L105">
        <v>82.063805000000002</v>
      </c>
      <c r="M105">
        <v>0</v>
      </c>
      <c r="N105">
        <v>-99999</v>
      </c>
      <c r="O105">
        <v>-99999</v>
      </c>
      <c r="P105">
        <v>-99999</v>
      </c>
    </row>
    <row r="106" spans="1:16" x14ac:dyDescent="0.3">
      <c r="A106" s="3">
        <v>46207.25</v>
      </c>
      <c r="B106">
        <v>-99999</v>
      </c>
      <c r="C106">
        <v>71.092147999999995</v>
      </c>
      <c r="D106">
        <v>-99999</v>
      </c>
      <c r="E106">
        <v>-99999</v>
      </c>
      <c r="F106">
        <v>1334.2578129999999</v>
      </c>
      <c r="G106">
        <v>-99999</v>
      </c>
      <c r="H106">
        <v>15470.470326000001</v>
      </c>
      <c r="I106">
        <v>-99999</v>
      </c>
      <c r="J106">
        <v>-99999</v>
      </c>
      <c r="K106">
        <v>15520.792171999999</v>
      </c>
      <c r="L106">
        <v>81.074173999999999</v>
      </c>
      <c r="M106">
        <v>0</v>
      </c>
      <c r="N106">
        <v>-99999</v>
      </c>
      <c r="O106">
        <v>-99999</v>
      </c>
      <c r="P106">
        <v>-99999</v>
      </c>
    </row>
    <row r="107" spans="1:16" x14ac:dyDescent="0.3">
      <c r="A107" s="3">
        <v>46208.25</v>
      </c>
      <c r="B107">
        <v>-99999</v>
      </c>
      <c r="C107">
        <v>71.041115000000005</v>
      </c>
      <c r="D107">
        <v>-99999</v>
      </c>
      <c r="E107">
        <v>-99999</v>
      </c>
      <c r="F107">
        <v>1330.132012</v>
      </c>
      <c r="G107">
        <v>-99999</v>
      </c>
      <c r="H107">
        <v>15388.532041</v>
      </c>
      <c r="I107">
        <v>-99999</v>
      </c>
      <c r="J107">
        <v>-99999</v>
      </c>
      <c r="K107">
        <v>15451.450311000001</v>
      </c>
      <c r="L107">
        <v>80.185627999999994</v>
      </c>
      <c r="M107">
        <v>0</v>
      </c>
      <c r="N107">
        <v>-99999</v>
      </c>
      <c r="O107">
        <v>-99999</v>
      </c>
      <c r="P107">
        <v>-99999</v>
      </c>
    </row>
    <row r="108" spans="1:16" x14ac:dyDescent="0.3">
      <c r="A108" s="3">
        <v>46209.333333333336</v>
      </c>
      <c r="B108">
        <v>-99999</v>
      </c>
      <c r="C108">
        <v>-99999</v>
      </c>
      <c r="D108">
        <v>-99999</v>
      </c>
      <c r="E108">
        <v>-99999</v>
      </c>
      <c r="F108">
        <v>-99999</v>
      </c>
      <c r="G108">
        <v>-99999</v>
      </c>
      <c r="H108">
        <v>-99999</v>
      </c>
      <c r="I108">
        <v>-99999</v>
      </c>
      <c r="J108">
        <v>-99999</v>
      </c>
      <c r="K108">
        <v>15380.002995000001</v>
      </c>
      <c r="L108">
        <v>79.296318999999997</v>
      </c>
      <c r="M108">
        <v>0</v>
      </c>
      <c r="N108">
        <v>-99999</v>
      </c>
      <c r="O108">
        <v>-99999</v>
      </c>
      <c r="P108">
        <v>-99999</v>
      </c>
    </row>
    <row r="109" spans="1:16" x14ac:dyDescent="0.3">
      <c r="A109" s="3">
        <v>46210.333333333336</v>
      </c>
      <c r="B109">
        <v>3555.4</v>
      </c>
      <c r="C109">
        <v>70.97</v>
      </c>
      <c r="D109">
        <v>4873.7191460000004</v>
      </c>
      <c r="E109">
        <v>-99999</v>
      </c>
      <c r="F109">
        <v>1318.319146</v>
      </c>
      <c r="G109">
        <v>-99999</v>
      </c>
      <c r="H109">
        <v>-99999</v>
      </c>
      <c r="I109">
        <v>76.380583999999999</v>
      </c>
      <c r="J109">
        <v>0</v>
      </c>
      <c r="K109">
        <v>15369.641396000001</v>
      </c>
      <c r="L109">
        <v>78.813025999999994</v>
      </c>
      <c r="M109">
        <v>0</v>
      </c>
      <c r="N109">
        <v>0.82076499999999997</v>
      </c>
      <c r="O109">
        <v>0</v>
      </c>
      <c r="P109">
        <v>8114.5293389999997</v>
      </c>
    </row>
    <row r="110" spans="1:16" x14ac:dyDescent="0.3">
      <c r="A110" s="3">
        <v>46211.333333333336</v>
      </c>
      <c r="B110">
        <v>3541.4</v>
      </c>
      <c r="C110">
        <v>70.900000000000006</v>
      </c>
      <c r="D110">
        <v>4855.8697160000002</v>
      </c>
      <c r="E110">
        <v>-99999</v>
      </c>
      <c r="F110">
        <v>1314.4697160000001</v>
      </c>
      <c r="G110">
        <v>4905.4279409999999</v>
      </c>
      <c r="H110">
        <v>14994.411339</v>
      </c>
      <c r="I110">
        <v>75.825875999999994</v>
      </c>
      <c r="J110">
        <v>0</v>
      </c>
      <c r="K110">
        <v>0</v>
      </c>
      <c r="L110">
        <v>76.380583999999999</v>
      </c>
      <c r="M110">
        <v>0</v>
      </c>
      <c r="N110">
        <v>0.83575999999999995</v>
      </c>
      <c r="O110">
        <v>0</v>
      </c>
      <c r="P110">
        <v>8190.3552149999996</v>
      </c>
    </row>
    <row r="111" spans="1:16" x14ac:dyDescent="0.3">
      <c r="A111" s="3">
        <v>46212.333333333336</v>
      </c>
      <c r="B111">
        <v>3527.4</v>
      </c>
      <c r="C111">
        <v>70.83</v>
      </c>
      <c r="D111">
        <v>4837.4953969999997</v>
      </c>
      <c r="E111">
        <v>-99999</v>
      </c>
      <c r="F111">
        <v>1310.095397</v>
      </c>
      <c r="G111">
        <v>4886.6756150000001</v>
      </c>
      <c r="H111">
        <v>14881.615239000001</v>
      </c>
      <c r="I111">
        <v>74.704936000000004</v>
      </c>
      <c r="J111">
        <v>0</v>
      </c>
      <c r="K111">
        <v>14994.411339</v>
      </c>
      <c r="L111">
        <v>75.825875999999994</v>
      </c>
      <c r="M111">
        <v>0</v>
      </c>
      <c r="N111">
        <v>0.85064099999999998</v>
      </c>
      <c r="O111">
        <v>0</v>
      </c>
      <c r="P111">
        <v>8265.0601509999997</v>
      </c>
    </row>
    <row r="112" spans="1:16" x14ac:dyDescent="0.3">
      <c r="A112" s="3">
        <v>46213.333333333336</v>
      </c>
      <c r="B112">
        <v>3497.4</v>
      </c>
      <c r="C112">
        <v>70.77</v>
      </c>
      <c r="D112">
        <v>4799.6513789999999</v>
      </c>
      <c r="E112">
        <v>-99999</v>
      </c>
      <c r="F112">
        <v>1302.251379</v>
      </c>
      <c r="G112">
        <v>4848.3709719999997</v>
      </c>
      <c r="H112">
        <v>14729.8801</v>
      </c>
      <c r="I112">
        <v>73.398311000000007</v>
      </c>
      <c r="J112">
        <v>0</v>
      </c>
      <c r="K112">
        <v>14881.615239000001</v>
      </c>
      <c r="L112">
        <v>74.704936000000004</v>
      </c>
      <c r="M112">
        <v>0</v>
      </c>
      <c r="N112">
        <v>0.865371</v>
      </c>
      <c r="O112">
        <v>0</v>
      </c>
      <c r="P112">
        <v>8338.4584620000005</v>
      </c>
    </row>
    <row r="113" spans="1:16" x14ac:dyDescent="0.3">
      <c r="A113" s="3">
        <v>46214.333333333336</v>
      </c>
      <c r="B113">
        <v>3481.4</v>
      </c>
      <c r="C113">
        <v>70.72</v>
      </c>
      <c r="D113">
        <v>4784.2707780000001</v>
      </c>
      <c r="E113">
        <v>-99999</v>
      </c>
      <c r="F113">
        <v>1302.870778</v>
      </c>
      <c r="G113">
        <v>4833.3391469999997</v>
      </c>
      <c r="H113">
        <v>-99999</v>
      </c>
      <c r="I113">
        <v>73.261616000000004</v>
      </c>
      <c r="J113">
        <v>0</v>
      </c>
      <c r="K113">
        <v>14729.8801</v>
      </c>
      <c r="L113">
        <v>73.398311000000007</v>
      </c>
      <c r="M113">
        <v>0</v>
      </c>
      <c r="N113">
        <v>0.88018300000000005</v>
      </c>
      <c r="O113">
        <v>0</v>
      </c>
      <c r="P113">
        <v>8411.7200780000003</v>
      </c>
    </row>
    <row r="114" spans="1:16" x14ac:dyDescent="0.3">
      <c r="A114" s="3">
        <v>46215.333333333336</v>
      </c>
      <c r="B114">
        <v>3464.4</v>
      </c>
      <c r="C114">
        <v>70.67</v>
      </c>
      <c r="D114">
        <v>4761.6854729999995</v>
      </c>
      <c r="E114">
        <v>-99999</v>
      </c>
      <c r="F114">
        <v>1297.2854729999999</v>
      </c>
      <c r="G114">
        <v>4810.8152049999999</v>
      </c>
      <c r="H114">
        <v>14812.417825</v>
      </c>
      <c r="I114">
        <v>72.713639999999998</v>
      </c>
      <c r="J114">
        <v>0</v>
      </c>
      <c r="K114">
        <v>14812.417825</v>
      </c>
      <c r="L114">
        <v>73.261616000000004</v>
      </c>
      <c r="M114">
        <v>0</v>
      </c>
      <c r="N114">
        <v>0.89499600000000001</v>
      </c>
      <c r="O114">
        <v>0</v>
      </c>
      <c r="P114">
        <v>8484.4337190000006</v>
      </c>
    </row>
    <row r="115" spans="1:16" x14ac:dyDescent="0.3">
      <c r="A115" s="3">
        <v>46216.250127314815</v>
      </c>
      <c r="B115">
        <v>-99999</v>
      </c>
      <c r="C115">
        <v>70.614085000000003</v>
      </c>
      <c r="D115">
        <v>4751.9213870000003</v>
      </c>
      <c r="E115">
        <v>-99999</v>
      </c>
      <c r="F115">
        <v>1297.7329099999999</v>
      </c>
      <c r="G115">
        <v>4801.6349559999999</v>
      </c>
      <c r="H115">
        <v>14958.810028</v>
      </c>
      <c r="I115">
        <v>72.924927999999994</v>
      </c>
      <c r="J115">
        <v>0</v>
      </c>
      <c r="K115">
        <v>15015.936142</v>
      </c>
      <c r="L115">
        <v>73.456969999999998</v>
      </c>
      <c r="M115">
        <v>0</v>
      </c>
      <c r="N115">
        <v>0.90871000000000002</v>
      </c>
      <c r="O115">
        <v>0</v>
      </c>
      <c r="P115">
        <v>8551.7784730000003</v>
      </c>
    </row>
    <row r="116" spans="1:16" x14ac:dyDescent="0.3">
      <c r="A116" s="3">
        <v>46217.25</v>
      </c>
      <c r="B116">
        <v>-99999</v>
      </c>
      <c r="C116">
        <v>70.422533999999999</v>
      </c>
      <c r="D116">
        <v>-99999</v>
      </c>
      <c r="E116">
        <v>-99999</v>
      </c>
      <c r="F116">
        <v>1294.6694339999999</v>
      </c>
      <c r="G116">
        <v>-99999</v>
      </c>
      <c r="H116">
        <v>14928.954938000001</v>
      </c>
      <c r="I116">
        <v>-99999</v>
      </c>
      <c r="J116">
        <v>-99999</v>
      </c>
      <c r="K116">
        <v>14963.436265</v>
      </c>
      <c r="L116">
        <v>72.670901000000001</v>
      </c>
      <c r="M116">
        <v>0</v>
      </c>
      <c r="N116">
        <v>-99999</v>
      </c>
      <c r="O116">
        <v>-99999</v>
      </c>
      <c r="P116">
        <v>-99999</v>
      </c>
    </row>
    <row r="117" spans="1:16" x14ac:dyDescent="0.3">
      <c r="A117" s="3">
        <v>46218.333333333336</v>
      </c>
      <c r="B117">
        <v>-99999</v>
      </c>
      <c r="C117">
        <v>-99999</v>
      </c>
      <c r="D117">
        <v>-99999</v>
      </c>
      <c r="E117">
        <v>-99999</v>
      </c>
      <c r="F117">
        <v>-99999</v>
      </c>
      <c r="G117">
        <v>-99999</v>
      </c>
      <c r="H117">
        <v>-99999</v>
      </c>
      <c r="I117">
        <v>-99999</v>
      </c>
      <c r="J117">
        <v>-99999</v>
      </c>
      <c r="K117">
        <v>14906.866112</v>
      </c>
      <c r="L117">
        <v>71.893856999999997</v>
      </c>
      <c r="M117">
        <v>0</v>
      </c>
      <c r="N117">
        <v>-99999</v>
      </c>
      <c r="O117">
        <v>-99999</v>
      </c>
      <c r="P117">
        <v>-99999</v>
      </c>
    </row>
    <row r="118" spans="1:16" x14ac:dyDescent="0.3">
      <c r="A118" s="3">
        <v>46219.25</v>
      </c>
      <c r="B118">
        <v>-99999</v>
      </c>
      <c r="C118">
        <v>70.228470000000002</v>
      </c>
      <c r="D118">
        <v>-99999</v>
      </c>
      <c r="E118">
        <v>-99999</v>
      </c>
      <c r="F118">
        <v>1287.026611</v>
      </c>
      <c r="G118">
        <v>-99999</v>
      </c>
      <c r="H118">
        <v>14764.552297</v>
      </c>
      <c r="I118">
        <v>-99999</v>
      </c>
      <c r="J118">
        <v>-99999</v>
      </c>
      <c r="K118">
        <v>14838.442528</v>
      </c>
      <c r="L118">
        <v>70.913622000000004</v>
      </c>
      <c r="M118">
        <v>0</v>
      </c>
      <c r="N118">
        <v>-99999</v>
      </c>
      <c r="O118">
        <v>-99999</v>
      </c>
      <c r="P118">
        <v>-99999</v>
      </c>
    </row>
    <row r="119" spans="1:16" x14ac:dyDescent="0.3">
      <c r="A119" s="3">
        <v>46220.25</v>
      </c>
      <c r="B119">
        <v>-99999</v>
      </c>
      <c r="C119">
        <v>69.996841000000003</v>
      </c>
      <c r="D119">
        <v>-99999</v>
      </c>
      <c r="E119">
        <v>-99999</v>
      </c>
      <c r="F119">
        <v>1283.796202</v>
      </c>
      <c r="G119">
        <v>-99999</v>
      </c>
      <c r="H119">
        <v>14768.849249999999</v>
      </c>
      <c r="I119">
        <v>-99999</v>
      </c>
      <c r="J119">
        <v>-99999</v>
      </c>
      <c r="K119">
        <v>14782.308985</v>
      </c>
      <c r="L119">
        <v>70.150577999999996</v>
      </c>
      <c r="M119">
        <v>0</v>
      </c>
      <c r="N119">
        <v>-99999</v>
      </c>
      <c r="O119">
        <v>-99999</v>
      </c>
      <c r="P119">
        <v>-99999</v>
      </c>
    </row>
    <row r="120" spans="1:16" x14ac:dyDescent="0.3">
      <c r="A120" s="3">
        <v>46221.706944444442</v>
      </c>
      <c r="B120">
        <v>-99999</v>
      </c>
      <c r="C120">
        <v>69.835883999999993</v>
      </c>
      <c r="D120">
        <v>-99999</v>
      </c>
      <c r="E120">
        <v>-99999</v>
      </c>
      <c r="F120">
        <v>-99999</v>
      </c>
      <c r="G120">
        <v>-99999</v>
      </c>
      <c r="H120">
        <v>-99999</v>
      </c>
      <c r="I120">
        <v>-99999</v>
      </c>
      <c r="J120">
        <v>-99999</v>
      </c>
      <c r="K120">
        <v>13593.877371</v>
      </c>
      <c r="L120">
        <v>64.297961999999998</v>
      </c>
      <c r="M120">
        <v>0</v>
      </c>
      <c r="N120">
        <v>-99999</v>
      </c>
      <c r="O120">
        <v>-99999</v>
      </c>
      <c r="P120">
        <v>-99999</v>
      </c>
    </row>
    <row r="121" spans="1:16" x14ac:dyDescent="0.3">
      <c r="A121" s="3">
        <v>46222.25</v>
      </c>
      <c r="B121">
        <v>-99999</v>
      </c>
      <c r="C121">
        <v>69.490409999999997</v>
      </c>
      <c r="D121">
        <v>-99999</v>
      </c>
      <c r="E121">
        <v>-99999</v>
      </c>
      <c r="F121">
        <v>1278.955019</v>
      </c>
      <c r="G121">
        <v>-99999</v>
      </c>
      <c r="H121">
        <v>14653.048199000001</v>
      </c>
      <c r="I121">
        <v>-99999</v>
      </c>
      <c r="J121">
        <v>-99999</v>
      </c>
      <c r="K121">
        <v>14640.457543</v>
      </c>
      <c r="L121">
        <v>69.249908000000005</v>
      </c>
      <c r="M121">
        <v>0</v>
      </c>
      <c r="N121">
        <v>-99999</v>
      </c>
      <c r="O121">
        <v>-99999</v>
      </c>
      <c r="P121">
        <v>-99999</v>
      </c>
    </row>
    <row r="122" spans="1:16" x14ac:dyDescent="0.3">
      <c r="A122" s="3">
        <v>46223.25</v>
      </c>
      <c r="B122">
        <v>-99999</v>
      </c>
      <c r="C122">
        <v>69.643523999999999</v>
      </c>
      <c r="D122">
        <v>-99999</v>
      </c>
      <c r="E122">
        <v>-99999</v>
      </c>
      <c r="F122">
        <v>1275.1119430000001</v>
      </c>
      <c r="G122">
        <v>-99999</v>
      </c>
      <c r="H122">
        <v>14547.928022</v>
      </c>
      <c r="I122">
        <v>-99999</v>
      </c>
      <c r="J122">
        <v>-99999</v>
      </c>
      <c r="K122">
        <v>14583.895956</v>
      </c>
      <c r="L122">
        <v>68.976303000000001</v>
      </c>
      <c r="M122">
        <v>0</v>
      </c>
      <c r="N122">
        <v>-99999</v>
      </c>
      <c r="O122">
        <v>-99999</v>
      </c>
      <c r="P122">
        <v>-99999</v>
      </c>
    </row>
    <row r="123" spans="1:16" x14ac:dyDescent="0.3">
      <c r="A123" s="3">
        <v>46224.333333333336</v>
      </c>
      <c r="B123">
        <v>-99999</v>
      </c>
      <c r="C123">
        <v>-99999</v>
      </c>
      <c r="D123">
        <v>-99999</v>
      </c>
      <c r="E123">
        <v>-99999</v>
      </c>
      <c r="F123">
        <v>-99999</v>
      </c>
      <c r="G123">
        <v>-99999</v>
      </c>
      <c r="H123">
        <v>-99999</v>
      </c>
      <c r="I123">
        <v>-99999</v>
      </c>
      <c r="J123">
        <v>-99999</v>
      </c>
      <c r="K123">
        <v>14532.932698000001</v>
      </c>
      <c r="L123">
        <v>68.740772000000007</v>
      </c>
      <c r="M123">
        <v>0</v>
      </c>
      <c r="N123">
        <v>-99999</v>
      </c>
      <c r="O123">
        <v>-99999</v>
      </c>
      <c r="P123">
        <v>-99999</v>
      </c>
    </row>
    <row r="124" spans="1:16" x14ac:dyDescent="0.3">
      <c r="A124" s="3">
        <v>46225.25</v>
      </c>
      <c r="B124">
        <v>-99999</v>
      </c>
      <c r="C124">
        <v>70.024322999999995</v>
      </c>
      <c r="D124">
        <v>-99999</v>
      </c>
      <c r="E124">
        <v>-99999</v>
      </c>
      <c r="F124">
        <v>1269.1105660000001</v>
      </c>
      <c r="G124">
        <v>-99999</v>
      </c>
      <c r="H124">
        <v>14421.470856</v>
      </c>
      <c r="I124">
        <v>-99999</v>
      </c>
      <c r="J124">
        <v>-99999</v>
      </c>
      <c r="K124">
        <v>14465.665063</v>
      </c>
      <c r="L124">
        <v>68.422634000000002</v>
      </c>
      <c r="M124">
        <v>0</v>
      </c>
      <c r="N124">
        <v>-99999</v>
      </c>
      <c r="O124">
        <v>-99999</v>
      </c>
      <c r="P124">
        <v>-99999</v>
      </c>
    </row>
    <row r="125" spans="1:16" x14ac:dyDescent="0.3">
      <c r="A125" s="3">
        <v>46226.25</v>
      </c>
      <c r="B125">
        <v>-99999</v>
      </c>
      <c r="C125">
        <v>68.599250999999995</v>
      </c>
      <c r="D125">
        <v>-99999</v>
      </c>
      <c r="E125">
        <v>-99999</v>
      </c>
      <c r="F125">
        <v>1267.7067079999999</v>
      </c>
      <c r="G125">
        <v>-99999</v>
      </c>
      <c r="H125">
        <v>14264.60419</v>
      </c>
      <c r="I125">
        <v>-99999</v>
      </c>
      <c r="J125">
        <v>-99999</v>
      </c>
      <c r="K125">
        <v>14034.328078</v>
      </c>
      <c r="L125">
        <v>66.399422999999999</v>
      </c>
      <c r="M125">
        <v>0</v>
      </c>
      <c r="N125">
        <v>-99999</v>
      </c>
      <c r="O125">
        <v>-99999</v>
      </c>
      <c r="P125">
        <v>-99999</v>
      </c>
    </row>
    <row r="126" spans="1:16" x14ac:dyDescent="0.3">
      <c r="A126" s="3">
        <v>46228.295104166667</v>
      </c>
      <c r="B126">
        <v>3332.1873049999999</v>
      </c>
      <c r="C126">
        <v>69.039912000000001</v>
      </c>
      <c r="D126">
        <v>4594.8713870000001</v>
      </c>
      <c r="E126">
        <v>121.16029399999999</v>
      </c>
      <c r="F126">
        <v>1262.684082</v>
      </c>
      <c r="G126">
        <v>4641.4842769999996</v>
      </c>
      <c r="H126">
        <v>14022.218618999999</v>
      </c>
      <c r="I126">
        <v>66.325094000000007</v>
      </c>
      <c r="J126">
        <v>0</v>
      </c>
      <c r="K126">
        <v>0</v>
      </c>
      <c r="L126">
        <v>0</v>
      </c>
      <c r="M126">
        <v>0</v>
      </c>
      <c r="N126">
        <v>1.0811109999999999</v>
      </c>
      <c r="O126">
        <v>0</v>
      </c>
      <c r="P126">
        <v>9379.2270320000007</v>
      </c>
    </row>
    <row r="127" spans="1:16" x14ac:dyDescent="0.3">
      <c r="A127" s="3">
        <v>46229.250416666669</v>
      </c>
      <c r="B127">
        <v>-99999</v>
      </c>
      <c r="C127">
        <v>69.004537999999997</v>
      </c>
      <c r="D127">
        <v>4582.3391600000004</v>
      </c>
      <c r="E127">
        <v>121.123406</v>
      </c>
      <c r="F127">
        <v>1261.1437989999999</v>
      </c>
      <c r="G127">
        <v>4629.0782799999997</v>
      </c>
      <c r="H127">
        <v>14046.289927</v>
      </c>
      <c r="I127">
        <v>66.438951000000003</v>
      </c>
      <c r="J127">
        <v>0</v>
      </c>
      <c r="K127">
        <v>14015.826235</v>
      </c>
      <c r="L127">
        <v>66.294500999999997</v>
      </c>
      <c r="M127">
        <v>0</v>
      </c>
      <c r="N127">
        <v>1.094492</v>
      </c>
      <c r="O127">
        <v>0</v>
      </c>
      <c r="P127">
        <v>9442.5590800000009</v>
      </c>
    </row>
    <row r="128" spans="1:16" x14ac:dyDescent="0.3">
      <c r="A128" s="3">
        <v>46230.250416666669</v>
      </c>
      <c r="B128">
        <v>-99999</v>
      </c>
      <c r="C128">
        <v>68.967507999999995</v>
      </c>
      <c r="D128">
        <v>4571.7498050000004</v>
      </c>
      <c r="E128">
        <v>121.093658</v>
      </c>
      <c r="F128">
        <v>1258.6022949999999</v>
      </c>
      <c r="G128">
        <v>4618.2619789999999</v>
      </c>
      <c r="H128">
        <v>13977.403915000001</v>
      </c>
      <c r="I128">
        <v>66.113121000000007</v>
      </c>
      <c r="J128">
        <v>0</v>
      </c>
      <c r="K128">
        <v>13962.625833</v>
      </c>
      <c r="L128">
        <v>66.042918</v>
      </c>
      <c r="M128">
        <v>0</v>
      </c>
      <c r="N128">
        <v>1.1083940000000001</v>
      </c>
      <c r="O128">
        <v>0</v>
      </c>
      <c r="P128">
        <v>9508.6020380000009</v>
      </c>
    </row>
    <row r="129" spans="1:16" x14ac:dyDescent="0.3">
      <c r="A129" s="3">
        <v>46231.268969907411</v>
      </c>
      <c r="B129">
        <v>3302.1550779999998</v>
      </c>
      <c r="C129">
        <v>68.929792000000006</v>
      </c>
      <c r="D129">
        <v>4557.6340819999996</v>
      </c>
      <c r="E129">
        <v>121.04892700000001</v>
      </c>
      <c r="F129">
        <v>1255.479004</v>
      </c>
      <c r="G129">
        <v>4603.8988730000001</v>
      </c>
      <c r="H129">
        <v>13900.259203</v>
      </c>
      <c r="I129">
        <v>65.748226000000003</v>
      </c>
      <c r="J129">
        <v>0</v>
      </c>
      <c r="K129">
        <v>13925.586126</v>
      </c>
      <c r="L129">
        <v>65.868021999999996</v>
      </c>
      <c r="M129">
        <v>0</v>
      </c>
      <c r="N129">
        <v>1.1225689999999999</v>
      </c>
      <c r="O129">
        <v>0</v>
      </c>
      <c r="P129">
        <v>9575.6489770000007</v>
      </c>
    </row>
    <row r="130" spans="1:16" x14ac:dyDescent="0.3">
      <c r="A130" s="3">
        <v>46232.250416666669</v>
      </c>
      <c r="B130">
        <v>3292.9292479999999</v>
      </c>
      <c r="C130">
        <v>68.893450000000001</v>
      </c>
      <c r="D130">
        <v>4546.611621</v>
      </c>
      <c r="E130">
        <v>121.01474</v>
      </c>
      <c r="F130">
        <v>1253.6823730000001</v>
      </c>
      <c r="G130">
        <v>4592.8701309999997</v>
      </c>
      <c r="H130">
        <v>13890.154254999999</v>
      </c>
      <c r="I130">
        <v>65.700429999999997</v>
      </c>
      <c r="J130">
        <v>0</v>
      </c>
      <c r="K130">
        <v>13898.893004</v>
      </c>
      <c r="L130">
        <v>65.741330000000005</v>
      </c>
      <c r="M130">
        <v>0</v>
      </c>
      <c r="N130">
        <v>1.1361859999999999</v>
      </c>
      <c r="O130">
        <v>0</v>
      </c>
      <c r="P130">
        <v>9640.1705689999999</v>
      </c>
    </row>
    <row r="131" spans="1:16" x14ac:dyDescent="0.3">
      <c r="A131" s="3">
        <v>46233.250416666669</v>
      </c>
      <c r="B131">
        <v>3283.3110839999999</v>
      </c>
      <c r="C131">
        <v>68.85642</v>
      </c>
      <c r="D131">
        <v>4535.6472659999999</v>
      </c>
      <c r="E131">
        <v>-99999</v>
      </c>
      <c r="F131">
        <v>1252.336182</v>
      </c>
      <c r="G131">
        <v>4582.0265220000001</v>
      </c>
      <c r="H131">
        <v>13914.017779</v>
      </c>
      <c r="I131">
        <v>65.813304000000002</v>
      </c>
      <c r="J131">
        <v>2.4910000000000002E-3</v>
      </c>
      <c r="K131">
        <v>13874.23654</v>
      </c>
      <c r="L131">
        <v>65.622624000000002</v>
      </c>
      <c r="M131">
        <v>2.22E-4</v>
      </c>
      <c r="N131">
        <v>1.1500079999999999</v>
      </c>
      <c r="O131">
        <v>2.23E-4</v>
      </c>
      <c r="P131">
        <v>9705.7933030000004</v>
      </c>
    </row>
    <row r="132" spans="1:16" x14ac:dyDescent="0.3">
      <c r="A132" s="3">
        <v>46234.299317129633</v>
      </c>
      <c r="B132">
        <v>3271.729785</v>
      </c>
      <c r="C132">
        <v>68.817580000000007</v>
      </c>
      <c r="D132">
        <v>4521.3308589999997</v>
      </c>
      <c r="E132">
        <v>120.932411</v>
      </c>
      <c r="F132">
        <v>1249.6010739999999</v>
      </c>
      <c r="G132">
        <v>4567.2384330000004</v>
      </c>
      <c r="H132">
        <v>13762.947147000001</v>
      </c>
      <c r="I132">
        <v>65.098740000000006</v>
      </c>
      <c r="J132">
        <v>1.732429</v>
      </c>
      <c r="K132">
        <v>13885.498568999999</v>
      </c>
      <c r="L132">
        <v>65.678556</v>
      </c>
      <c r="M132">
        <v>0.48864600000000002</v>
      </c>
      <c r="N132">
        <v>1.164533</v>
      </c>
      <c r="O132">
        <v>0.71658200000000005</v>
      </c>
      <c r="P132">
        <v>9774.5189069999997</v>
      </c>
    </row>
    <row r="133" spans="1:16" x14ac:dyDescent="0.3">
      <c r="A133" s="3">
        <v>46235.250127314815</v>
      </c>
      <c r="B133">
        <v>-99999</v>
      </c>
      <c r="C133">
        <v>68.782371999999995</v>
      </c>
      <c r="D133">
        <v>4510.6418949999997</v>
      </c>
      <c r="E133">
        <v>120.90479999999999</v>
      </c>
      <c r="F133">
        <v>1251.0822760000001</v>
      </c>
      <c r="G133">
        <v>4556.9728100000002</v>
      </c>
      <c r="H133">
        <v>13850.317158</v>
      </c>
      <c r="I133">
        <v>65.512</v>
      </c>
      <c r="J133">
        <v>4.0409170000000003</v>
      </c>
      <c r="K133">
        <v>13814.927206</v>
      </c>
      <c r="L133">
        <v>65.344971999999999</v>
      </c>
      <c r="M133">
        <v>2.883623</v>
      </c>
      <c r="N133">
        <v>1.1776489999999999</v>
      </c>
      <c r="O133">
        <v>3.4590299999999998</v>
      </c>
      <c r="P133">
        <v>9836.649668</v>
      </c>
    </row>
    <row r="134" spans="1:16" x14ac:dyDescent="0.3">
      <c r="A134" s="3">
        <v>46236.250416666669</v>
      </c>
      <c r="B134">
        <v>-99999</v>
      </c>
      <c r="C134">
        <v>68.745332000000005</v>
      </c>
      <c r="D134">
        <v>4497.6365230000001</v>
      </c>
      <c r="E134">
        <v>120.85893299999999</v>
      </c>
      <c r="F134">
        <v>1249.2653800000001</v>
      </c>
      <c r="G134">
        <v>4543.5585620000002</v>
      </c>
      <c r="H134">
        <v>13712.617737</v>
      </c>
      <c r="I134">
        <v>64.860681999999997</v>
      </c>
      <c r="J134">
        <v>6.3937609999999996</v>
      </c>
      <c r="K134">
        <v>13758.625453000001</v>
      </c>
      <c r="L134">
        <v>65.077586999999994</v>
      </c>
      <c r="M134">
        <v>5.213946</v>
      </c>
      <c r="N134">
        <v>1.191336</v>
      </c>
      <c r="O134">
        <v>8.6751670000000001</v>
      </c>
      <c r="P134">
        <v>9901.7459589999999</v>
      </c>
    </row>
    <row r="135" spans="1:16" x14ac:dyDescent="0.3">
      <c r="A135" s="3">
        <v>46237.250706018516</v>
      </c>
      <c r="B135">
        <v>-99999</v>
      </c>
      <c r="C135">
        <v>68.708292</v>
      </c>
      <c r="D135">
        <v>4484.1824219999999</v>
      </c>
      <c r="E135">
        <v>120.812454</v>
      </c>
      <c r="F135">
        <v>1247.9812010000001</v>
      </c>
      <c r="G135">
        <v>4529.8747100000001</v>
      </c>
      <c r="H135">
        <v>13621.138525</v>
      </c>
      <c r="I135">
        <v>64.427985000000007</v>
      </c>
      <c r="J135">
        <v>8.7281619999999993</v>
      </c>
      <c r="K135">
        <v>13676.801646</v>
      </c>
      <c r="L135">
        <v>64.690492000000006</v>
      </c>
      <c r="M135">
        <v>7.8543190000000003</v>
      </c>
      <c r="N135">
        <v>1.204985</v>
      </c>
      <c r="O135">
        <v>16.532518</v>
      </c>
      <c r="P135">
        <v>9966.4549420000003</v>
      </c>
    </row>
    <row r="136" spans="1:16" x14ac:dyDescent="0.3">
      <c r="A136" s="3">
        <v>46238.250416666669</v>
      </c>
      <c r="B136">
        <v>-99999</v>
      </c>
      <c r="C136">
        <v>66.416979999999995</v>
      </c>
      <c r="D136">
        <v>4472.4055660000004</v>
      </c>
      <c r="E136">
        <v>120.756455</v>
      </c>
      <c r="F136">
        <v>1245.8227529999999</v>
      </c>
      <c r="G136">
        <v>4524.3933200000001</v>
      </c>
      <c r="H136">
        <v>15265.002101</v>
      </c>
      <c r="I136">
        <v>72.203460000000007</v>
      </c>
      <c r="J136">
        <v>1.5443770000000001</v>
      </c>
      <c r="K136">
        <v>6039.9784209999998</v>
      </c>
      <c r="L136">
        <v>28.531635000000001</v>
      </c>
      <c r="M136">
        <v>2.5286420000000001</v>
      </c>
      <c r="N136">
        <v>1.2101420000000001</v>
      </c>
      <c r="O136">
        <v>19.059858999999999</v>
      </c>
      <c r="P136">
        <v>9995.0035950000001</v>
      </c>
    </row>
    <row r="137" spans="1:16" x14ac:dyDescent="0.3">
      <c r="A137" s="3">
        <v>46239.250127314815</v>
      </c>
      <c r="B137">
        <v>3223.638477</v>
      </c>
      <c r="C137">
        <v>68.099097</v>
      </c>
      <c r="D137">
        <v>4461.908496</v>
      </c>
      <c r="E137">
        <v>-99999</v>
      </c>
      <c r="F137">
        <v>1238.270019</v>
      </c>
      <c r="G137">
        <v>4513.8932349999995</v>
      </c>
      <c r="H137">
        <v>15234.727131</v>
      </c>
      <c r="I137">
        <v>72.060259000000002</v>
      </c>
      <c r="J137">
        <v>4.0516180000000004</v>
      </c>
      <c r="K137">
        <v>15213.793471000001</v>
      </c>
      <c r="L137">
        <v>71.961242999999996</v>
      </c>
      <c r="M137">
        <v>2.7955230000000002</v>
      </c>
      <c r="N137">
        <v>1.2253510000000001</v>
      </c>
      <c r="O137">
        <v>21.8553</v>
      </c>
      <c r="P137">
        <v>10066.944073000001</v>
      </c>
    </row>
    <row r="138" spans="1:16" x14ac:dyDescent="0.3">
      <c r="A138" s="3">
        <v>46240.25</v>
      </c>
      <c r="B138">
        <v>-99999</v>
      </c>
      <c r="C138">
        <v>68.124222000000003</v>
      </c>
      <c r="D138">
        <v>4448.3499019999999</v>
      </c>
      <c r="E138">
        <v>120.59388</v>
      </c>
      <c r="F138">
        <v>1235.5565790000001</v>
      </c>
      <c r="G138">
        <v>4500.8910050000004</v>
      </c>
      <c r="H138">
        <v>15335.303639</v>
      </c>
      <c r="I138">
        <v>72.535985999999994</v>
      </c>
      <c r="J138">
        <v>6.6056509999999999</v>
      </c>
      <c r="K138">
        <v>15210.909513000001</v>
      </c>
      <c r="L138">
        <v>71.950569999999999</v>
      </c>
      <c r="M138">
        <v>4.5971979999999997</v>
      </c>
      <c r="N138">
        <v>1.240442</v>
      </c>
      <c r="O138">
        <v>27.599771</v>
      </c>
      <c r="P138">
        <v>10138.666522</v>
      </c>
    </row>
    <row r="139" spans="1:16" x14ac:dyDescent="0.3">
      <c r="A139" s="3">
        <v>46241.25</v>
      </c>
      <c r="B139">
        <v>3205.3833500000001</v>
      </c>
      <c r="C139">
        <v>67.899145000000004</v>
      </c>
      <c r="D139">
        <v>4440.3054689999999</v>
      </c>
      <c r="E139">
        <v>120.59017900000001</v>
      </c>
      <c r="F139">
        <v>1234.9221190000001</v>
      </c>
      <c r="G139">
        <v>4492.3864860000003</v>
      </c>
      <c r="H139">
        <v>15200.079841000001</v>
      </c>
      <c r="I139">
        <v>71.896377999999999</v>
      </c>
      <c r="J139">
        <v>9.0527230000000003</v>
      </c>
      <c r="K139">
        <v>15225.344332999999</v>
      </c>
      <c r="L139">
        <v>72.016693000000004</v>
      </c>
      <c r="M139">
        <v>7.8103030000000002</v>
      </c>
      <c r="N139">
        <v>1.2556039999999999</v>
      </c>
      <c r="O139">
        <v>35.410074000000002</v>
      </c>
      <c r="P139">
        <v>10210.683214999999</v>
      </c>
    </row>
    <row r="140" spans="1:16" x14ac:dyDescent="0.3">
      <c r="A140" s="3">
        <v>46242.25</v>
      </c>
      <c r="B140">
        <v>3226.3862789999998</v>
      </c>
      <c r="C140">
        <v>67.496093999999999</v>
      </c>
      <c r="D140">
        <v>4467.4490230000001</v>
      </c>
      <c r="E140">
        <v>120.800392</v>
      </c>
      <c r="F140">
        <v>1241.0627440000001</v>
      </c>
      <c r="G140">
        <v>4514.7885349999997</v>
      </c>
      <c r="H140">
        <v>13956.673161000001</v>
      </c>
      <c r="I140">
        <v>66.015063999999995</v>
      </c>
      <c r="J140">
        <v>20.051110999999999</v>
      </c>
      <c r="K140">
        <v>14190.089040999999</v>
      </c>
      <c r="L140">
        <v>67.126772000000003</v>
      </c>
      <c r="M140">
        <v>16.482547</v>
      </c>
      <c r="N140">
        <v>1.269687</v>
      </c>
      <c r="O140">
        <v>51.892620999999998</v>
      </c>
      <c r="P140">
        <v>10277.809987000001</v>
      </c>
    </row>
    <row r="141" spans="1:16" x14ac:dyDescent="0.3">
      <c r="A141" s="3">
        <v>46244.433333333334</v>
      </c>
      <c r="B141">
        <v>3207.3462399999999</v>
      </c>
      <c r="C141">
        <v>67.268394000000001</v>
      </c>
      <c r="D141">
        <v>4448.1018549999999</v>
      </c>
      <c r="E141">
        <v>120.75617200000001</v>
      </c>
      <c r="F141">
        <v>1240.755615</v>
      </c>
      <c r="G141">
        <v>4496.7160720000002</v>
      </c>
      <c r="H141">
        <v>-99999</v>
      </c>
      <c r="I141">
        <v>66.976464000000007</v>
      </c>
      <c r="J141">
        <v>34.238751999999998</v>
      </c>
      <c r="K141">
        <v>0</v>
      </c>
      <c r="L141">
        <v>0</v>
      </c>
      <c r="M141">
        <v>0</v>
      </c>
      <c r="N141">
        <v>1.2794779999999999</v>
      </c>
      <c r="O141">
        <v>118.10629400000001</v>
      </c>
      <c r="P141">
        <v>10423.322324000001</v>
      </c>
    </row>
    <row r="142" spans="1:16" x14ac:dyDescent="0.3">
      <c r="A142" s="3">
        <v>46245.25</v>
      </c>
      <c r="B142">
        <v>3206.168506</v>
      </c>
      <c r="C142">
        <v>67.068175999999994</v>
      </c>
      <c r="D142">
        <v>4447.6746089999997</v>
      </c>
      <c r="E142">
        <v>120.816551</v>
      </c>
      <c r="F142">
        <v>1241.5061029999999</v>
      </c>
      <c r="G142">
        <v>4495.9015049999998</v>
      </c>
      <c r="H142">
        <v>14022.956851000001</v>
      </c>
      <c r="I142">
        <v>66.328586000000001</v>
      </c>
      <c r="J142">
        <v>39.070892999999998</v>
      </c>
      <c r="K142">
        <v>13846.415874</v>
      </c>
      <c r="L142">
        <v>65.490590999999995</v>
      </c>
      <c r="M142">
        <v>36.008597000000002</v>
      </c>
      <c r="N142">
        <v>1.2903439999999999</v>
      </c>
      <c r="O142">
        <v>147.51331500000001</v>
      </c>
      <c r="P142">
        <v>10476.806307000001</v>
      </c>
    </row>
    <row r="143" spans="1:16" x14ac:dyDescent="0.3">
      <c r="A143" s="3">
        <v>46246.595138888886</v>
      </c>
      <c r="B143">
        <v>3155.9177730000001</v>
      </c>
      <c r="C143">
        <v>66.192718999999997</v>
      </c>
      <c r="D143">
        <v>4489.9919920000002</v>
      </c>
      <c r="E143">
        <v>121.08129099999999</v>
      </c>
      <c r="F143">
        <v>1334.0742190000001</v>
      </c>
      <c r="G143">
        <v>4531.0974260000003</v>
      </c>
      <c r="H143">
        <v>12071.360720999999</v>
      </c>
      <c r="I143">
        <v>57.097535999999998</v>
      </c>
      <c r="J143">
        <v>37.097237999999997</v>
      </c>
      <c r="K143">
        <v>13498.664821</v>
      </c>
      <c r="L143">
        <v>63.846235</v>
      </c>
      <c r="M143">
        <v>40.250999</v>
      </c>
      <c r="N143">
        <v>1.307401</v>
      </c>
      <c r="O143">
        <v>199.790819</v>
      </c>
      <c r="P143">
        <v>10559.229181000001</v>
      </c>
    </row>
    <row r="144" spans="1:16" x14ac:dyDescent="0.3">
      <c r="A144" s="3">
        <v>46247.254166666666</v>
      </c>
      <c r="B144">
        <v>2995.1553220000001</v>
      </c>
      <c r="C144">
        <v>63.523155000000003</v>
      </c>
      <c r="D144">
        <v>4505.3762699999997</v>
      </c>
      <c r="E144">
        <v>121.19332900000001</v>
      </c>
      <c r="F144">
        <v>1510.2209479999999</v>
      </c>
      <c r="G144">
        <v>4543.9318039999998</v>
      </c>
      <c r="H144">
        <v>-99999</v>
      </c>
      <c r="I144">
        <v>53.428997000000003</v>
      </c>
      <c r="J144">
        <v>34.896031999999998</v>
      </c>
      <c r="K144">
        <v>12052.012562</v>
      </c>
      <c r="L144">
        <v>57.001432000000001</v>
      </c>
      <c r="M144">
        <v>37.097057</v>
      </c>
      <c r="N144">
        <v>1.310433</v>
      </c>
      <c r="O144">
        <v>223.34699900000001</v>
      </c>
      <c r="P144">
        <v>10595.358536</v>
      </c>
    </row>
    <row r="145" spans="1:16" x14ac:dyDescent="0.3">
      <c r="A145" s="3">
        <v>46248.25</v>
      </c>
      <c r="B145">
        <v>3049.527881</v>
      </c>
      <c r="C145">
        <v>64.587051000000002</v>
      </c>
      <c r="D145">
        <v>4502.2883789999996</v>
      </c>
      <c r="E145">
        <v>121.17363</v>
      </c>
      <c r="F145">
        <v>1452.7604980000001</v>
      </c>
      <c r="G145">
        <v>4541.2341070000002</v>
      </c>
      <c r="H145">
        <v>11414.906424999999</v>
      </c>
      <c r="I145">
        <v>53.992507000000003</v>
      </c>
      <c r="J145">
        <v>35.542459999999998</v>
      </c>
      <c r="K145">
        <v>11116.155513</v>
      </c>
      <c r="L145">
        <v>52.594036000000003</v>
      </c>
      <c r="M145">
        <v>34.491216000000001</v>
      </c>
      <c r="N145">
        <v>1.3211539999999999</v>
      </c>
      <c r="O145">
        <v>257.694501</v>
      </c>
      <c r="P145">
        <v>10647.733431000001</v>
      </c>
    </row>
    <row r="146" spans="1:16" x14ac:dyDescent="0.3">
      <c r="A146" s="3">
        <v>46249.250694444447</v>
      </c>
      <c r="B146">
        <v>2841.262988</v>
      </c>
      <c r="C146">
        <v>60.586635999999999</v>
      </c>
      <c r="D146">
        <v>4579.9758789999996</v>
      </c>
      <c r="E146">
        <v>121.59204099999999</v>
      </c>
      <c r="F146">
        <v>1738.7128909999999</v>
      </c>
      <c r="G146">
        <v>4607.1667649999999</v>
      </c>
      <c r="H146">
        <v>-99999</v>
      </c>
      <c r="I146">
        <v>31.821383999999998</v>
      </c>
      <c r="J146">
        <v>21.112411999999999</v>
      </c>
      <c r="K146">
        <v>8908.453845</v>
      </c>
      <c r="L146">
        <v>41.961620000000003</v>
      </c>
      <c r="M146">
        <v>27.726372000000001</v>
      </c>
      <c r="N146">
        <v>1.326355</v>
      </c>
      <c r="O146">
        <v>285.43094200000002</v>
      </c>
      <c r="P146">
        <v>10689.710107000001</v>
      </c>
    </row>
    <row r="147" spans="1:16" x14ac:dyDescent="0.3">
      <c r="A147" s="3">
        <v>46250.333333333336</v>
      </c>
      <c r="B147">
        <v>-99999</v>
      </c>
      <c r="C147">
        <v>-99999</v>
      </c>
      <c r="D147">
        <v>-99999</v>
      </c>
      <c r="E147">
        <v>-99999</v>
      </c>
      <c r="F147">
        <v>-99999</v>
      </c>
      <c r="G147">
        <v>-99999</v>
      </c>
      <c r="H147">
        <v>-99999</v>
      </c>
      <c r="I147">
        <v>-99999</v>
      </c>
      <c r="J147">
        <v>-99999</v>
      </c>
      <c r="K147">
        <v>9427.1595849999994</v>
      </c>
      <c r="L147">
        <v>44.575904999999999</v>
      </c>
      <c r="M147">
        <v>29.685793</v>
      </c>
      <c r="N147">
        <v>-99999</v>
      </c>
      <c r="O147">
        <v>-99999</v>
      </c>
      <c r="P147">
        <v>-99999</v>
      </c>
    </row>
    <row r="148" spans="1:16" x14ac:dyDescent="0.3">
      <c r="A148" s="3">
        <v>46251.25</v>
      </c>
      <c r="B148">
        <v>-99999</v>
      </c>
      <c r="C148">
        <v>65.666656000000003</v>
      </c>
      <c r="D148">
        <v>4543.1809569999996</v>
      </c>
      <c r="E148">
        <v>121.43995700000001</v>
      </c>
      <c r="F148">
        <v>1249.4663089999999</v>
      </c>
      <c r="G148">
        <v>4576.2272039999998</v>
      </c>
      <c r="H148">
        <v>9356.1058670000002</v>
      </c>
      <c r="I148">
        <v>44.254381000000002</v>
      </c>
      <c r="J148">
        <v>31.101873999999999</v>
      </c>
      <c r="K148">
        <v>9433.8132029999997</v>
      </c>
      <c r="L148">
        <v>44.638899000000002</v>
      </c>
      <c r="M148">
        <v>30.71707</v>
      </c>
      <c r="N148">
        <v>1.3413390000000001</v>
      </c>
      <c r="O148">
        <v>346.17177500000003</v>
      </c>
      <c r="P148">
        <v>10779.442331</v>
      </c>
    </row>
    <row r="149" spans="1:16" x14ac:dyDescent="0.3">
      <c r="A149" s="3">
        <v>46252.250694444447</v>
      </c>
      <c r="B149">
        <v>3277.2258790000001</v>
      </c>
      <c r="C149">
        <v>66.000350999999995</v>
      </c>
      <c r="D149">
        <v>4529.6619140000003</v>
      </c>
      <c r="E149">
        <v>121.35797100000001</v>
      </c>
      <c r="F149">
        <v>1252.4360349999999</v>
      </c>
      <c r="G149">
        <v>4564.2327930000001</v>
      </c>
      <c r="H149">
        <v>9907.6882650000007</v>
      </c>
      <c r="I149">
        <v>46.863365000000002</v>
      </c>
      <c r="J149">
        <v>34.502707000000001</v>
      </c>
      <c r="K149">
        <v>9688.0527980000006</v>
      </c>
      <c r="L149">
        <v>45.823554000000001</v>
      </c>
      <c r="M149">
        <v>32.983944000000001</v>
      </c>
      <c r="N149">
        <v>1.3509869999999999</v>
      </c>
      <c r="O149">
        <v>379.18073399999997</v>
      </c>
      <c r="P149">
        <v>10825.299150999999</v>
      </c>
    </row>
    <row r="150" spans="1:16" x14ac:dyDescent="0.3">
      <c r="A150" s="3">
        <v>46253.316666666666</v>
      </c>
      <c r="B150">
        <v>3266.2334470000001</v>
      </c>
      <c r="C150">
        <v>65.399704</v>
      </c>
      <c r="D150">
        <v>4535.3088870000001</v>
      </c>
      <c r="E150">
        <v>121.401421</v>
      </c>
      <c r="F150">
        <v>1269.0754400000001</v>
      </c>
      <c r="G150">
        <v>4569.0308999999997</v>
      </c>
      <c r="H150">
        <v>9575.7501869999996</v>
      </c>
      <c r="I150">
        <v>45.293298</v>
      </c>
      <c r="J150">
        <v>34.960307999999998</v>
      </c>
      <c r="K150">
        <v>9750.7604960000008</v>
      </c>
      <c r="L150">
        <v>46.121096999999999</v>
      </c>
      <c r="M150">
        <v>34.714171999999998</v>
      </c>
      <c r="N150">
        <v>1.361367</v>
      </c>
      <c r="O150">
        <v>416.22110199999997</v>
      </c>
      <c r="P150">
        <v>10874.397459</v>
      </c>
    </row>
    <row r="151" spans="1:16" x14ac:dyDescent="0.3">
      <c r="A151" s="3">
        <v>46254.25</v>
      </c>
      <c r="B151">
        <v>2939.212207</v>
      </c>
      <c r="C151">
        <v>62.859687999999998</v>
      </c>
      <c r="D151">
        <v>4573.7278319999996</v>
      </c>
      <c r="E151">
        <v>121.594612</v>
      </c>
      <c r="F151">
        <v>1634.515625</v>
      </c>
      <c r="G151">
        <v>4603.1858460000003</v>
      </c>
      <c r="H151">
        <v>7781.0486879999999</v>
      </c>
      <c r="I151">
        <v>36.804360000000003</v>
      </c>
      <c r="J151">
        <v>29.555985</v>
      </c>
      <c r="K151">
        <v>9155.1649890000008</v>
      </c>
      <c r="L151">
        <v>43.286282999999997</v>
      </c>
      <c r="M151">
        <v>34.069685999999997</v>
      </c>
      <c r="N151">
        <v>1.369526</v>
      </c>
      <c r="O151">
        <v>448.019476</v>
      </c>
      <c r="P151">
        <v>10914.797989999999</v>
      </c>
    </row>
    <row r="152" spans="1:16" x14ac:dyDescent="0.3">
      <c r="A152" s="3">
        <v>46255.25</v>
      </c>
      <c r="B152">
        <v>2974.5444819999998</v>
      </c>
      <c r="C152">
        <v>59.758285999999998</v>
      </c>
      <c r="D152">
        <v>4624.4182620000001</v>
      </c>
      <c r="E152">
        <v>121.914368</v>
      </c>
      <c r="F152">
        <v>1649.8737799999999</v>
      </c>
      <c r="G152">
        <v>4650.4977319999998</v>
      </c>
      <c r="H152">
        <v>5952.6438550000003</v>
      </c>
      <c r="I152">
        <v>28.156005</v>
      </c>
      <c r="J152">
        <v>22.837484</v>
      </c>
      <c r="K152">
        <v>3656.0071619999999</v>
      </c>
      <c r="L152">
        <v>17.295497000000001</v>
      </c>
      <c r="M152">
        <v>13.838813</v>
      </c>
      <c r="N152">
        <v>1.372576</v>
      </c>
      <c r="O152">
        <v>461.85828900000001</v>
      </c>
      <c r="P152">
        <v>10932.093487</v>
      </c>
    </row>
    <row r="153" spans="1:16" x14ac:dyDescent="0.3">
      <c r="A153" s="3">
        <v>46256.484722222223</v>
      </c>
      <c r="B153">
        <v>1166.504565</v>
      </c>
      <c r="C153">
        <v>79.454162999999994</v>
      </c>
      <c r="D153">
        <v>4794.7244140000003</v>
      </c>
      <c r="E153">
        <v>123.449699</v>
      </c>
      <c r="F153">
        <v>3628.2198490000001</v>
      </c>
      <c r="G153">
        <v>4815.6956829999999</v>
      </c>
      <c r="H153">
        <v>0</v>
      </c>
      <c r="I153">
        <v>0</v>
      </c>
      <c r="J153">
        <v>0</v>
      </c>
      <c r="K153">
        <v>653.85612500000002</v>
      </c>
      <c r="L153">
        <v>3.3451970000000002</v>
      </c>
      <c r="M153">
        <v>2.7324850000000001</v>
      </c>
      <c r="N153">
        <v>1.372913</v>
      </c>
      <c r="O153">
        <v>464.59077500000001</v>
      </c>
      <c r="P153">
        <v>10935.438684000001</v>
      </c>
    </row>
    <row r="154" spans="1:16" x14ac:dyDescent="0.3">
      <c r="A154" s="3">
        <v>46257.25</v>
      </c>
      <c r="B154">
        <v>3353.7795900000001</v>
      </c>
      <c r="C154">
        <v>60.398192999999999</v>
      </c>
      <c r="D154">
        <v>4645.6833980000001</v>
      </c>
      <c r="E154">
        <v>121.916382</v>
      </c>
      <c r="F154">
        <v>1291.903808</v>
      </c>
      <c r="G154">
        <v>4677.0701150000004</v>
      </c>
      <c r="H154">
        <v>8504.5575700000009</v>
      </c>
      <c r="I154">
        <v>40.226557</v>
      </c>
      <c r="J154">
        <v>40.020290000000003</v>
      </c>
      <c r="K154">
        <v>1685.583159</v>
      </c>
      <c r="L154">
        <v>7.9154939999999998</v>
      </c>
      <c r="M154">
        <v>8.6630009999999995</v>
      </c>
      <c r="N154">
        <v>1.3737630000000001</v>
      </c>
      <c r="O154">
        <v>471.22037699999998</v>
      </c>
      <c r="P154">
        <v>10941.496236000001</v>
      </c>
    </row>
    <row r="155" spans="1:16" x14ac:dyDescent="0.3">
      <c r="A155" s="3">
        <v>46258.25</v>
      </c>
      <c r="B155">
        <v>3365.7532230000002</v>
      </c>
      <c r="C155">
        <v>63.059905999999998</v>
      </c>
      <c r="D155">
        <v>4633.2874019999999</v>
      </c>
      <c r="E155">
        <v>121.66218600000001</v>
      </c>
      <c r="F155">
        <v>1267.534179</v>
      </c>
      <c r="G155">
        <v>4667.4749929999998</v>
      </c>
      <c r="H155">
        <v>10062.523395</v>
      </c>
      <c r="I155">
        <v>47.595736000000002</v>
      </c>
      <c r="J155">
        <v>9.2332380000000001</v>
      </c>
      <c r="K155">
        <v>3660.986531</v>
      </c>
      <c r="L155">
        <v>17.278441000000001</v>
      </c>
      <c r="M155">
        <v>9.4957750000000001</v>
      </c>
      <c r="N155">
        <v>1.376509</v>
      </c>
      <c r="O155">
        <v>480.71615200000002</v>
      </c>
      <c r="P155">
        <v>10958.774676999999</v>
      </c>
    </row>
    <row r="156" spans="1:16" x14ac:dyDescent="0.3">
      <c r="A156" s="3">
        <v>46259.572222222225</v>
      </c>
      <c r="B156">
        <v>3339.8430659999999</v>
      </c>
      <c r="C156">
        <v>66.031761000000003</v>
      </c>
      <c r="D156">
        <v>4623.7166020000004</v>
      </c>
      <c r="E156">
        <v>121.64896400000001</v>
      </c>
      <c r="F156">
        <v>1283.8735360000001</v>
      </c>
      <c r="G156">
        <v>4658.1863489999996</v>
      </c>
      <c r="H156">
        <v>10134.848778</v>
      </c>
      <c r="I156">
        <v>47.937835</v>
      </c>
      <c r="J156">
        <v>12.010838</v>
      </c>
      <c r="K156">
        <v>10236.206361</v>
      </c>
      <c r="L156">
        <v>48.414735</v>
      </c>
      <c r="M156">
        <v>10.245058</v>
      </c>
      <c r="N156">
        <v>1.3898710000000001</v>
      </c>
      <c r="O156">
        <v>495.434594</v>
      </c>
      <c r="P156">
        <v>11022.477634000001</v>
      </c>
    </row>
    <row r="157" spans="1:16" x14ac:dyDescent="0.3">
      <c r="A157" s="3">
        <v>46260.25</v>
      </c>
      <c r="B157">
        <v>3294.6956049999999</v>
      </c>
      <c r="C157">
        <v>65.230887999999993</v>
      </c>
      <c r="D157">
        <v>4626.1462890000003</v>
      </c>
      <c r="E157">
        <v>121.678513</v>
      </c>
      <c r="F157">
        <v>1331.4506839999999</v>
      </c>
      <c r="G157">
        <v>4659.8552309999995</v>
      </c>
      <c r="H157">
        <v>9835.3349369999996</v>
      </c>
      <c r="I157">
        <v>46.521134000000004</v>
      </c>
      <c r="J157">
        <v>13.004602999999999</v>
      </c>
      <c r="K157">
        <v>10008.458629000001</v>
      </c>
      <c r="L157">
        <v>47.340009000000002</v>
      </c>
      <c r="M157">
        <v>12.544938999999999</v>
      </c>
      <c r="N157">
        <v>1.3966540000000001</v>
      </c>
      <c r="O157">
        <v>503.937275</v>
      </c>
      <c r="P157">
        <v>11054.56364</v>
      </c>
    </row>
    <row r="158" spans="1:16" x14ac:dyDescent="0.3">
      <c r="A158" s="3">
        <v>46261.25</v>
      </c>
      <c r="B158">
        <v>3285.470264</v>
      </c>
      <c r="C158">
        <v>67.696312000000006</v>
      </c>
      <c r="D158">
        <v>4546.1086910000004</v>
      </c>
      <c r="E158">
        <v>121.241631</v>
      </c>
      <c r="F158">
        <v>1260.6384270000001</v>
      </c>
      <c r="G158">
        <v>4589.7459520000002</v>
      </c>
      <c r="H158">
        <v>13042.963272999999</v>
      </c>
      <c r="I158">
        <v>61.693216</v>
      </c>
      <c r="J158">
        <v>15.109106000000001</v>
      </c>
      <c r="K158">
        <v>11559.952439999999</v>
      </c>
      <c r="L158">
        <v>54.678555000000003</v>
      </c>
      <c r="M158">
        <v>13.147246000000001</v>
      </c>
      <c r="N158">
        <v>1.408139</v>
      </c>
      <c r="O158">
        <v>517.084521</v>
      </c>
      <c r="P158">
        <v>11109.242195000001</v>
      </c>
    </row>
    <row r="159" spans="1:16" x14ac:dyDescent="0.3">
      <c r="A159" s="3">
        <v>46262.523611111108</v>
      </c>
      <c r="B159">
        <v>3245.6230959999998</v>
      </c>
      <c r="C159">
        <v>67.794455999999997</v>
      </c>
      <c r="D159">
        <v>4525.5583980000001</v>
      </c>
      <c r="E159">
        <v>121.17157</v>
      </c>
      <c r="F159">
        <v>1279.9353020000001</v>
      </c>
      <c r="G159">
        <v>4570.1763209999999</v>
      </c>
      <c r="H159">
        <v>-99999</v>
      </c>
      <c r="I159">
        <v>62.680683999999999</v>
      </c>
      <c r="J159">
        <v>21.538176</v>
      </c>
      <c r="K159">
        <v>12842.176189</v>
      </c>
      <c r="L159">
        <v>60.744591</v>
      </c>
      <c r="M159">
        <v>16.980015000000002</v>
      </c>
      <c r="N159">
        <v>1.4164639999999999</v>
      </c>
      <c r="O159">
        <v>541.15501600000005</v>
      </c>
      <c r="P159">
        <v>11188.098137999999</v>
      </c>
    </row>
    <row r="160" spans="1:16" x14ac:dyDescent="0.3">
      <c r="A160" s="3">
        <v>46263.25</v>
      </c>
      <c r="B160">
        <v>-99999</v>
      </c>
      <c r="C160">
        <v>66.644188</v>
      </c>
      <c r="D160">
        <v>4525.5369140000003</v>
      </c>
      <c r="E160">
        <v>121.19274900000001</v>
      </c>
      <c r="F160">
        <v>1299.3075690000001</v>
      </c>
      <c r="G160">
        <v>4568.7989010000001</v>
      </c>
      <c r="H160">
        <v>12843.904108999999</v>
      </c>
      <c r="I160">
        <v>60.751666</v>
      </c>
      <c r="J160">
        <v>24.295546000000002</v>
      </c>
      <c r="K160">
        <v>12846.423922</v>
      </c>
      <c r="L160">
        <v>60.792257999999997</v>
      </c>
      <c r="M160">
        <v>22.598804000000001</v>
      </c>
      <c r="N160">
        <v>1.425441</v>
      </c>
      <c r="O160">
        <v>557.57053599999995</v>
      </c>
      <c r="P160">
        <v>11232.256959</v>
      </c>
    </row>
    <row r="161" spans="1:16" x14ac:dyDescent="0.3">
      <c r="A161" s="3">
        <v>46264.25</v>
      </c>
      <c r="B161">
        <v>-99999</v>
      </c>
      <c r="C161">
        <v>65.599914999999996</v>
      </c>
      <c r="D161">
        <v>4566.3840819999996</v>
      </c>
      <c r="E161">
        <v>121.487289</v>
      </c>
      <c r="F161">
        <v>1304.4034019999999</v>
      </c>
      <c r="G161">
        <v>4601.6882439999999</v>
      </c>
      <c r="H161">
        <v>10399.450194999999</v>
      </c>
      <c r="I161">
        <v>49.189399999999999</v>
      </c>
      <c r="J161">
        <v>14.731343000000001</v>
      </c>
      <c r="K161">
        <v>10620.18318</v>
      </c>
      <c r="L161">
        <v>49.710436000000001</v>
      </c>
      <c r="M161">
        <v>19.536984</v>
      </c>
      <c r="N161">
        <v>1.434884</v>
      </c>
      <c r="O161">
        <v>577.07495500000005</v>
      </c>
      <c r="P161">
        <v>11281.894358</v>
      </c>
    </row>
    <row r="162" spans="1:16" x14ac:dyDescent="0.3">
      <c r="A162" s="3">
        <v>46265.253472222219</v>
      </c>
      <c r="B162">
        <v>3166.7139160000002</v>
      </c>
      <c r="C162">
        <v>68.771987999999993</v>
      </c>
      <c r="D162">
        <v>4406.736621</v>
      </c>
      <c r="E162">
        <v>120.494072</v>
      </c>
      <c r="F162">
        <v>1240.0227050000001</v>
      </c>
      <c r="G162">
        <v>4459.4073070000004</v>
      </c>
      <c r="H162">
        <v>15407.309292</v>
      </c>
      <c r="I162">
        <v>61.629237000000003</v>
      </c>
      <c r="J162">
        <v>1.999177</v>
      </c>
      <c r="K162">
        <v>12737.479955000001</v>
      </c>
      <c r="L162">
        <v>50.965237999999999</v>
      </c>
      <c r="M162">
        <v>0.92174100000000003</v>
      </c>
      <c r="N162">
        <v>1.445166</v>
      </c>
      <c r="O162">
        <v>582.80622100000005</v>
      </c>
      <c r="P162">
        <v>11327.167404</v>
      </c>
    </row>
    <row r="163" spans="1:16" x14ac:dyDescent="0.3">
      <c r="A163" s="3">
        <v>46266.25</v>
      </c>
      <c r="B163">
        <v>3153.3662599999998</v>
      </c>
      <c r="C163">
        <v>68.583550000000002</v>
      </c>
      <c r="D163">
        <v>4390.3591800000004</v>
      </c>
      <c r="E163">
        <v>120.431191</v>
      </c>
      <c r="F163">
        <v>1236.9929199999999</v>
      </c>
      <c r="G163">
        <v>4443.2318690000002</v>
      </c>
      <c r="H163">
        <v>15413.282227</v>
      </c>
      <c r="I163">
        <v>61.653129</v>
      </c>
      <c r="J163">
        <v>5.4582439999999997</v>
      </c>
      <c r="K163">
        <v>15458.039463999999</v>
      </c>
      <c r="L163">
        <v>61.832158</v>
      </c>
      <c r="M163">
        <v>3.7463489999999999</v>
      </c>
      <c r="N163">
        <v>1.4605699999999999</v>
      </c>
      <c r="O163">
        <v>586.53956200000005</v>
      </c>
      <c r="P163">
        <v>11388.784867</v>
      </c>
    </row>
    <row r="164" spans="1:16" x14ac:dyDescent="0.3">
      <c r="A164" s="3">
        <v>46267.25</v>
      </c>
      <c r="B164">
        <v>3138.0554689999999</v>
      </c>
      <c r="C164">
        <v>68.567841000000001</v>
      </c>
      <c r="D164">
        <v>4372.3777339999997</v>
      </c>
      <c r="E164">
        <v>120.37112399999999</v>
      </c>
      <c r="F164">
        <v>1234.322265</v>
      </c>
      <c r="G164">
        <v>4424.6945070000002</v>
      </c>
      <c r="H164">
        <v>15238.809569999999</v>
      </c>
      <c r="I164">
        <v>60.955238000000001</v>
      </c>
      <c r="J164">
        <v>8.8275179999999995</v>
      </c>
      <c r="K164">
        <v>15381.308947</v>
      </c>
      <c r="L164">
        <v>61.525236</v>
      </c>
      <c r="M164">
        <v>7.1776799999999996</v>
      </c>
      <c r="N164">
        <v>1.4759519999999999</v>
      </c>
      <c r="O164">
        <v>593.71724300000005</v>
      </c>
      <c r="P164">
        <v>11450.310103</v>
      </c>
    </row>
    <row r="165" spans="1:16" x14ac:dyDescent="0.3">
      <c r="A165" s="3">
        <v>46269.443749999999</v>
      </c>
      <c r="B165">
        <v>3093.1045410000002</v>
      </c>
      <c r="C165">
        <v>67.900452000000001</v>
      </c>
      <c r="D165">
        <v>4329.035938</v>
      </c>
      <c r="E165">
        <v>120.212631</v>
      </c>
      <c r="F165">
        <v>1235.9313970000001</v>
      </c>
      <c r="G165">
        <v>4380.6159639999996</v>
      </c>
      <c r="H165">
        <v>14967.101563</v>
      </c>
      <c r="I165">
        <v>59.868406</v>
      </c>
      <c r="J165">
        <v>16.062802999999999</v>
      </c>
      <c r="K165">
        <v>0</v>
      </c>
      <c r="L165">
        <v>0</v>
      </c>
      <c r="M165">
        <v>0</v>
      </c>
      <c r="N165">
        <v>1.5090939999999999</v>
      </c>
      <c r="O165">
        <v>624.07211500000005</v>
      </c>
      <c r="P165">
        <v>11582.877850999999</v>
      </c>
    </row>
    <row r="166" spans="1:16" x14ac:dyDescent="0.3">
      <c r="A166" s="3">
        <v>46270.25</v>
      </c>
      <c r="B166">
        <v>3065.8201170000002</v>
      </c>
      <c r="C166">
        <v>67.700232999999997</v>
      </c>
      <c r="D166">
        <v>4310.2141600000004</v>
      </c>
      <c r="E166">
        <v>120.159935</v>
      </c>
      <c r="F166">
        <v>1244.394043</v>
      </c>
      <c r="G166">
        <v>4362.4378630000001</v>
      </c>
      <c r="H166">
        <v>15079.277344</v>
      </c>
      <c r="I166">
        <v>60.317109000000002</v>
      </c>
      <c r="J166">
        <v>18.920522999999999</v>
      </c>
      <c r="K166">
        <v>15052.653135</v>
      </c>
      <c r="L166">
        <v>60.210613000000002</v>
      </c>
      <c r="M166">
        <v>17.521840999999998</v>
      </c>
      <c r="N166">
        <v>1.5212300000000001</v>
      </c>
      <c r="O166">
        <v>638.19910000000004</v>
      </c>
      <c r="P166">
        <v>11631.422658</v>
      </c>
    </row>
    <row r="167" spans="1:16" x14ac:dyDescent="0.3">
      <c r="A167" s="3">
        <v>46271.25</v>
      </c>
      <c r="B167">
        <v>3002.8105959999998</v>
      </c>
      <c r="C167">
        <v>-99999</v>
      </c>
      <c r="D167">
        <v>4299.3840819999996</v>
      </c>
      <c r="E167">
        <v>120.163399</v>
      </c>
      <c r="F167">
        <v>1296.573486</v>
      </c>
      <c r="G167">
        <v>4350.5011359999999</v>
      </c>
      <c r="H167">
        <v>14790.304688</v>
      </c>
      <c r="I167">
        <v>59.161219000000003</v>
      </c>
      <c r="J167">
        <v>21.152622999999998</v>
      </c>
      <c r="K167">
        <v>14761.052267999999</v>
      </c>
      <c r="L167">
        <v>59.044209000000002</v>
      </c>
      <c r="M167">
        <v>20.092827</v>
      </c>
      <c r="N167">
        <v>1.5359910000000001</v>
      </c>
      <c r="O167">
        <v>658.29192699999999</v>
      </c>
      <c r="P167">
        <v>11690.466866999999</v>
      </c>
    </row>
    <row r="168" spans="1:16" x14ac:dyDescent="0.3">
      <c r="A168" s="3">
        <v>46272.26666666667</v>
      </c>
      <c r="B168">
        <v>2655.5710939999999</v>
      </c>
      <c r="C168">
        <v>60.59449</v>
      </c>
      <c r="D168">
        <v>4350.2258789999996</v>
      </c>
      <c r="E168">
        <v>120.539993</v>
      </c>
      <c r="F168">
        <v>1694.6547849999999</v>
      </c>
      <c r="G168">
        <v>4391.0034820000001</v>
      </c>
      <c r="H168">
        <v>12131.732765000001</v>
      </c>
      <c r="I168">
        <v>48.526930999999998</v>
      </c>
      <c r="J168">
        <v>17.350418000000001</v>
      </c>
      <c r="K168">
        <v>13724.150009000001</v>
      </c>
      <c r="L168">
        <v>54.896599999999999</v>
      </c>
      <c r="M168">
        <v>19.627842000000001</v>
      </c>
      <c r="N168">
        <v>1.5498940000000001</v>
      </c>
      <c r="O168">
        <v>678.17573000000004</v>
      </c>
      <c r="P168">
        <v>11746.079358000001</v>
      </c>
    </row>
    <row r="169" spans="1:16" x14ac:dyDescent="0.3">
      <c r="A169" s="3">
        <v>46273.25</v>
      </c>
      <c r="B169">
        <v>3050.9019039999998</v>
      </c>
      <c r="C169">
        <v>67.731644000000003</v>
      </c>
      <c r="D169">
        <v>4257.9016600000004</v>
      </c>
      <c r="E169">
        <v>119.950913</v>
      </c>
      <c r="F169">
        <v>1206.9997559999999</v>
      </c>
      <c r="G169">
        <v>4308.3057140000001</v>
      </c>
      <c r="H169">
        <v>14722.842773</v>
      </c>
      <c r="I169">
        <v>58.891370999999999</v>
      </c>
      <c r="J169">
        <v>1.316643</v>
      </c>
      <c r="K169">
        <v>10093.60175</v>
      </c>
      <c r="L169">
        <v>40.374406999999998</v>
      </c>
      <c r="M169">
        <v>6.5435410000000003</v>
      </c>
      <c r="N169">
        <v>1.5598190000000001</v>
      </c>
      <c r="O169">
        <v>684.61021300000004</v>
      </c>
      <c r="P169">
        <v>11785.780858</v>
      </c>
    </row>
    <row r="170" spans="1:16" x14ac:dyDescent="0.3">
      <c r="A170" s="3">
        <v>46274.25</v>
      </c>
      <c r="B170">
        <v>3041.0874509999999</v>
      </c>
      <c r="C170">
        <v>67.692383000000007</v>
      </c>
      <c r="D170">
        <v>4246.3416020000004</v>
      </c>
      <c r="E170">
        <v>119.854889</v>
      </c>
      <c r="F170">
        <v>1205.2541510000001</v>
      </c>
      <c r="G170">
        <v>4295.8130620000002</v>
      </c>
      <c r="H170">
        <v>14461.944336</v>
      </c>
      <c r="I170">
        <v>57.847777000000001</v>
      </c>
      <c r="J170">
        <v>4.8206290000000003</v>
      </c>
      <c r="K170">
        <v>14686.540254</v>
      </c>
      <c r="L170">
        <v>58.746161000000001</v>
      </c>
      <c r="M170">
        <v>3.101623</v>
      </c>
      <c r="N170">
        <v>1.574506</v>
      </c>
      <c r="O170">
        <v>687.71183599999995</v>
      </c>
      <c r="P170">
        <v>11844.527018999999</v>
      </c>
    </row>
    <row r="171" spans="1:16" x14ac:dyDescent="0.3">
      <c r="A171" s="3">
        <v>46275.25</v>
      </c>
      <c r="B171">
        <v>3016.9436519999999</v>
      </c>
      <c r="C171">
        <v>67.103508000000005</v>
      </c>
      <c r="D171">
        <v>4232.7795900000001</v>
      </c>
      <c r="E171">
        <v>119.889931</v>
      </c>
      <c r="F171">
        <v>1215.8359379999999</v>
      </c>
      <c r="G171">
        <v>4281.6595600000001</v>
      </c>
      <c r="H171">
        <v>14280.089844</v>
      </c>
      <c r="I171">
        <v>57.120359000000001</v>
      </c>
      <c r="J171">
        <v>8.2429749999999995</v>
      </c>
      <c r="K171">
        <v>14420.628871000001</v>
      </c>
      <c r="L171">
        <v>57.682515000000002</v>
      </c>
      <c r="M171">
        <v>6.6329549999999999</v>
      </c>
      <c r="N171">
        <v>1.588927</v>
      </c>
      <c r="O171">
        <v>694.34479099999999</v>
      </c>
      <c r="P171">
        <v>11902.209535</v>
      </c>
    </row>
    <row r="172" spans="1:16" x14ac:dyDescent="0.3">
      <c r="A172" s="3">
        <v>46276.25</v>
      </c>
      <c r="B172">
        <v>2943.137988</v>
      </c>
      <c r="C172">
        <v>66.035683000000006</v>
      </c>
      <c r="D172">
        <v>4225.3723630000004</v>
      </c>
      <c r="E172">
        <v>119.905258</v>
      </c>
      <c r="F172">
        <v>1282.234375</v>
      </c>
      <c r="G172">
        <v>4272.6343210000005</v>
      </c>
      <c r="H172">
        <v>13850.690554000001</v>
      </c>
      <c r="I172">
        <v>55.402762000000003</v>
      </c>
      <c r="J172">
        <v>11.373341</v>
      </c>
      <c r="K172">
        <v>14098.891036000001</v>
      </c>
      <c r="L172">
        <v>56.395564</v>
      </c>
      <c r="M172">
        <v>9.8547930000000008</v>
      </c>
      <c r="N172">
        <v>1.6030249999999999</v>
      </c>
      <c r="O172">
        <v>704.19958399999996</v>
      </c>
      <c r="P172">
        <v>11958.605099</v>
      </c>
    </row>
    <row r="173" spans="1:16" x14ac:dyDescent="0.3">
      <c r="A173" s="3">
        <v>46277.25</v>
      </c>
      <c r="B173">
        <v>2591.7764160000002</v>
      </c>
      <c r="C173">
        <v>61.426765000000003</v>
      </c>
      <c r="D173">
        <v>4268.7683589999997</v>
      </c>
      <c r="E173">
        <v>120.170227</v>
      </c>
      <c r="F173">
        <v>1676.991943</v>
      </c>
      <c r="G173">
        <v>4307.4556110000003</v>
      </c>
      <c r="H173">
        <v>11511.672586000001</v>
      </c>
      <c r="I173">
        <v>46.046689999999998</v>
      </c>
      <c r="J173">
        <v>12.281998</v>
      </c>
      <c r="K173">
        <v>14023.236192</v>
      </c>
      <c r="L173">
        <v>56.092945</v>
      </c>
      <c r="M173">
        <v>13.230153</v>
      </c>
      <c r="N173">
        <v>1.617049</v>
      </c>
      <c r="O173">
        <v>717.42973600000005</v>
      </c>
      <c r="P173">
        <v>12014.698044000001</v>
      </c>
    </row>
    <row r="174" spans="1:16" x14ac:dyDescent="0.3">
      <c r="A174" s="3">
        <v>46278.32916666667</v>
      </c>
      <c r="B174">
        <v>2960.8042479999999</v>
      </c>
      <c r="C174">
        <v>67.492165</v>
      </c>
      <c r="D174">
        <v>4148.9792969999999</v>
      </c>
      <c r="E174">
        <v>119.456795</v>
      </c>
      <c r="F174">
        <v>1188.1750489999999</v>
      </c>
      <c r="G174">
        <v>4198.9318560000002</v>
      </c>
      <c r="H174">
        <v>14503.129883</v>
      </c>
      <c r="I174">
        <v>58.012520000000002</v>
      </c>
      <c r="J174">
        <v>1.762248</v>
      </c>
      <c r="K174">
        <v>13257.047017999999</v>
      </c>
      <c r="L174">
        <v>53.028188</v>
      </c>
      <c r="M174">
        <v>1.5694760000000001</v>
      </c>
      <c r="N174">
        <v>1.631454</v>
      </c>
      <c r="O174">
        <v>719.15963899999997</v>
      </c>
      <c r="P174">
        <v>12072.319192999999</v>
      </c>
    </row>
    <row r="175" spans="1:16" x14ac:dyDescent="0.3">
      <c r="A175" s="3">
        <v>46279.25</v>
      </c>
      <c r="B175">
        <v>2947.0637700000002</v>
      </c>
      <c r="C175">
        <v>67.327286000000001</v>
      </c>
      <c r="D175">
        <v>4138.7166020000004</v>
      </c>
      <c r="E175">
        <v>119.43890399999999</v>
      </c>
      <c r="F175">
        <v>1191.652832</v>
      </c>
      <c r="G175">
        <v>-99999</v>
      </c>
      <c r="H175">
        <v>14406.661133</v>
      </c>
      <c r="I175">
        <v>57.626645000000003</v>
      </c>
      <c r="J175">
        <v>3.3819750000000002</v>
      </c>
      <c r="K175">
        <v>14437.643882</v>
      </c>
      <c r="L175">
        <v>57.750576000000002</v>
      </c>
      <c r="M175">
        <v>2.571761</v>
      </c>
      <c r="N175">
        <v>1.644749</v>
      </c>
      <c r="O175">
        <v>721.52780199999995</v>
      </c>
      <c r="P175">
        <v>12125.497848000001</v>
      </c>
    </row>
    <row r="176" spans="1:16" x14ac:dyDescent="0.3">
      <c r="A176" s="3">
        <v>46280.25</v>
      </c>
      <c r="B176">
        <v>-99999</v>
      </c>
      <c r="C176">
        <v>66.459671</v>
      </c>
      <c r="D176">
        <v>4130.45</v>
      </c>
      <c r="E176">
        <v>119.444923</v>
      </c>
      <c r="F176">
        <v>1210.670654</v>
      </c>
      <c r="G176">
        <v>4179.3568320000004</v>
      </c>
      <c r="H176">
        <v>14212.830078000001</v>
      </c>
      <c r="I176">
        <v>56.851320000000001</v>
      </c>
      <c r="J176">
        <v>5.0843449999999999</v>
      </c>
      <c r="K176">
        <v>14320.936228</v>
      </c>
      <c r="L176">
        <v>57.283745000000003</v>
      </c>
      <c r="M176">
        <v>4.2410439999999996</v>
      </c>
      <c r="N176">
        <v>1.65907</v>
      </c>
      <c r="O176">
        <v>725.76884600000005</v>
      </c>
      <c r="P176">
        <v>12182.781591999999</v>
      </c>
    </row>
    <row r="177" spans="1:16" x14ac:dyDescent="0.3">
      <c r="A177" s="3">
        <v>46281.28125</v>
      </c>
      <c r="B177">
        <v>2645.9529299999999</v>
      </c>
      <c r="C177">
        <v>62.891098</v>
      </c>
      <c r="D177">
        <v>4165.2361330000003</v>
      </c>
      <c r="E177">
        <v>119.799728</v>
      </c>
      <c r="F177">
        <v>1519.283203</v>
      </c>
      <c r="G177">
        <v>4207.3545990000002</v>
      </c>
      <c r="H177">
        <v>12500.456055000001</v>
      </c>
      <c r="I177">
        <v>50.001823999999999</v>
      </c>
      <c r="J177">
        <v>6.0571070000000002</v>
      </c>
      <c r="K177">
        <v>13279.277937999999</v>
      </c>
      <c r="L177">
        <v>53.117111999999999</v>
      </c>
      <c r="M177">
        <v>5.5445859999999998</v>
      </c>
      <c r="N177">
        <v>1.6727369999999999</v>
      </c>
      <c r="O177">
        <v>731.50431800000001</v>
      </c>
      <c r="P177">
        <v>12237.451526000001</v>
      </c>
    </row>
    <row r="178" spans="1:16" x14ac:dyDescent="0.3">
      <c r="A178" s="3">
        <v>46282.25</v>
      </c>
      <c r="B178">
        <v>-99999</v>
      </c>
      <c r="C178">
        <v>68.344070000000002</v>
      </c>
      <c r="D178">
        <v>4044.6245610000001</v>
      </c>
      <c r="E178">
        <v>118.882462</v>
      </c>
      <c r="F178">
        <v>1167.0478519999999</v>
      </c>
      <c r="G178">
        <v>4095.0509980000002</v>
      </c>
      <c r="H178">
        <v>14512.972656</v>
      </c>
      <c r="I178">
        <v>58.051890999999998</v>
      </c>
      <c r="J178">
        <v>0.89303600000000005</v>
      </c>
      <c r="K178">
        <v>11936.726849000001</v>
      </c>
      <c r="L178">
        <v>47.746907</v>
      </c>
      <c r="M178">
        <v>2.0783200000000002</v>
      </c>
      <c r="N178">
        <v>1.684301</v>
      </c>
      <c r="O178">
        <v>733.51769100000001</v>
      </c>
      <c r="P178">
        <v>12283.706341999999</v>
      </c>
    </row>
    <row r="179" spans="1:16" x14ac:dyDescent="0.3">
      <c r="A179" s="3">
        <v>46283.25</v>
      </c>
      <c r="B179">
        <v>2864.0325200000002</v>
      </c>
      <c r="C179">
        <v>68.065337999999997</v>
      </c>
      <c r="D179">
        <v>4030.7615230000001</v>
      </c>
      <c r="E179">
        <v>118.82321899999999</v>
      </c>
      <c r="F179">
        <v>1166.7290029999999</v>
      </c>
      <c r="G179">
        <v>-99999</v>
      </c>
      <c r="H179">
        <v>14374.796875</v>
      </c>
      <c r="I179">
        <v>57.499187999999997</v>
      </c>
      <c r="J179">
        <v>2.343016</v>
      </c>
      <c r="K179">
        <v>14451.702069000001</v>
      </c>
      <c r="L179">
        <v>57.806807999999997</v>
      </c>
      <c r="M179">
        <v>1.6214759999999999</v>
      </c>
      <c r="N179">
        <v>1.698752</v>
      </c>
      <c r="O179">
        <v>735.13916600000005</v>
      </c>
      <c r="P179">
        <v>12341.513150999999</v>
      </c>
    </row>
    <row r="180" spans="1:16" x14ac:dyDescent="0.3">
      <c r="A180" s="3">
        <v>46284.296527777777</v>
      </c>
      <c r="B180">
        <v>2846.1702150000001</v>
      </c>
      <c r="C180">
        <v>67.288025000000005</v>
      </c>
      <c r="D180">
        <v>4017.652881</v>
      </c>
      <c r="E180">
        <v>118.817841</v>
      </c>
      <c r="F180">
        <v>1171.4826660000001</v>
      </c>
      <c r="G180">
        <v>4066.7760960000001</v>
      </c>
      <c r="H180">
        <v>14161.399414</v>
      </c>
      <c r="I180">
        <v>56.645598</v>
      </c>
      <c r="J180">
        <v>3.8119160000000001</v>
      </c>
      <c r="K180">
        <v>14296.102364</v>
      </c>
      <c r="L180">
        <v>57.184409000000002</v>
      </c>
      <c r="M180">
        <v>3.0257689999999999</v>
      </c>
      <c r="N180">
        <v>1.7136940000000001</v>
      </c>
      <c r="O180">
        <v>738.41132000000005</v>
      </c>
      <c r="P180">
        <v>12401.277603</v>
      </c>
    </row>
    <row r="181" spans="1:16" x14ac:dyDescent="0.3">
      <c r="A181" s="3">
        <v>46285.25</v>
      </c>
      <c r="B181">
        <v>2817.707813</v>
      </c>
      <c r="C181">
        <v>-99999</v>
      </c>
      <c r="D181">
        <v>4024.3113279999998</v>
      </c>
      <c r="E181">
        <v>118.923874</v>
      </c>
      <c r="F181">
        <v>1206.603515</v>
      </c>
      <c r="G181">
        <v>4070.4454820000001</v>
      </c>
      <c r="H181">
        <v>13443.216796999999</v>
      </c>
      <c r="I181">
        <v>53.772866999999998</v>
      </c>
      <c r="J181">
        <v>4.9190990000000001</v>
      </c>
      <c r="K181">
        <v>13988.125553</v>
      </c>
      <c r="L181">
        <v>55.952502000000003</v>
      </c>
      <c r="M181">
        <v>4.4441790000000001</v>
      </c>
      <c r="N181">
        <v>1.727031</v>
      </c>
      <c r="O181">
        <v>742.64872100000002</v>
      </c>
      <c r="P181">
        <v>12454.626759999999</v>
      </c>
    </row>
    <row r="182" spans="1:16" x14ac:dyDescent="0.3">
      <c r="A182" s="3">
        <v>46286.250694444447</v>
      </c>
      <c r="B182">
        <v>2824.5779299999999</v>
      </c>
      <c r="C182">
        <v>-99999</v>
      </c>
      <c r="D182">
        <v>3973.4336429999998</v>
      </c>
      <c r="E182">
        <v>118.622696</v>
      </c>
      <c r="F182">
        <v>1148.8557129999999</v>
      </c>
      <c r="G182">
        <v>4023.806059</v>
      </c>
      <c r="H182">
        <v>14432.424578</v>
      </c>
      <c r="I182">
        <v>57.713979999999999</v>
      </c>
      <c r="J182">
        <v>0.33458500000000002</v>
      </c>
      <c r="K182">
        <v>11346.652378000001</v>
      </c>
      <c r="L182">
        <v>45.386609999999997</v>
      </c>
      <c r="M182">
        <v>3.2570290000000002</v>
      </c>
      <c r="N182">
        <v>1.738389</v>
      </c>
      <c r="O182">
        <v>745.90496800000005</v>
      </c>
      <c r="P182">
        <v>12500.057729</v>
      </c>
    </row>
    <row r="183" spans="1:16" x14ac:dyDescent="0.3">
      <c r="A183" s="3">
        <v>46287.25</v>
      </c>
      <c r="B183">
        <v>2805.5378909999999</v>
      </c>
      <c r="C183">
        <v>67.268394000000001</v>
      </c>
      <c r="D183">
        <v>3956.1377440000001</v>
      </c>
      <c r="E183">
        <v>118.48801400000001</v>
      </c>
      <c r="F183">
        <v>1150.5998529999999</v>
      </c>
      <c r="G183">
        <v>4006.2536700000001</v>
      </c>
      <c r="H183">
        <v>14336.671818000001</v>
      </c>
      <c r="I183">
        <v>57.369965000000001</v>
      </c>
      <c r="J183">
        <v>1.6660779999999999</v>
      </c>
      <c r="K183">
        <v>14351.227258999999</v>
      </c>
      <c r="L183">
        <v>57.404909000000004</v>
      </c>
      <c r="M183">
        <v>0.999996</v>
      </c>
      <c r="N183">
        <v>1.7527299999999999</v>
      </c>
      <c r="O183">
        <v>746.90427</v>
      </c>
      <c r="P183">
        <v>12557.422774000001</v>
      </c>
    </row>
    <row r="184" spans="1:16" x14ac:dyDescent="0.3">
      <c r="A184" s="3">
        <v>46288.25</v>
      </c>
      <c r="B184">
        <v>-99999</v>
      </c>
      <c r="C184">
        <v>-99999</v>
      </c>
      <c r="D184">
        <v>3947.5930659999999</v>
      </c>
      <c r="E184">
        <v>118.51308400000001</v>
      </c>
      <c r="F184">
        <v>1158.5439449999999</v>
      </c>
      <c r="G184">
        <v>3996.5979200000002</v>
      </c>
      <c r="H184">
        <v>14066.740001</v>
      </c>
      <c r="I184">
        <v>56.280456999999998</v>
      </c>
      <c r="J184">
        <v>2.9435099999999998</v>
      </c>
      <c r="K184">
        <v>14198.334435000001</v>
      </c>
      <c r="L184">
        <v>56.793337999999999</v>
      </c>
      <c r="M184">
        <v>2.3091499999999998</v>
      </c>
      <c r="N184">
        <v>1.7669280000000001</v>
      </c>
      <c r="O184">
        <v>749.21342000000004</v>
      </c>
      <c r="P184">
        <v>12614.216111</v>
      </c>
    </row>
    <row r="185" spans="1:16" x14ac:dyDescent="0.3">
      <c r="A185" s="3">
        <v>46289.250694444447</v>
      </c>
      <c r="B185">
        <v>2707.1956049999999</v>
      </c>
      <c r="C185">
        <v>66.000350999999995</v>
      </c>
      <c r="D185">
        <v>3960.2183110000001</v>
      </c>
      <c r="E185">
        <v>118.69811300000001</v>
      </c>
      <c r="F185">
        <v>1253.022706</v>
      </c>
      <c r="G185">
        <v>4005.5308340000001</v>
      </c>
      <c r="H185">
        <v>13193.123075</v>
      </c>
      <c r="I185">
        <v>52.771386999999997</v>
      </c>
      <c r="J185">
        <v>3.9882870000000001</v>
      </c>
      <c r="K185">
        <v>13662.465027</v>
      </c>
      <c r="L185">
        <v>54.649859999999997</v>
      </c>
      <c r="M185">
        <v>3.487752</v>
      </c>
      <c r="N185">
        <v>1.7806</v>
      </c>
      <c r="O185">
        <v>752.70428900000002</v>
      </c>
      <c r="P185">
        <v>12668.901314000001</v>
      </c>
    </row>
    <row r="186" spans="1:16" x14ac:dyDescent="0.3">
      <c r="A186" s="3">
        <v>46290.265277777777</v>
      </c>
      <c r="B186">
        <v>2746.8467289999999</v>
      </c>
      <c r="C186">
        <v>67.103508000000005</v>
      </c>
      <c r="D186">
        <v>3879.4912599999998</v>
      </c>
      <c r="E186">
        <v>118.048821</v>
      </c>
      <c r="F186">
        <v>1132.6445309999999</v>
      </c>
      <c r="G186">
        <v>3930.9935099999998</v>
      </c>
      <c r="H186">
        <v>14564.838959999999</v>
      </c>
      <c r="I186">
        <v>58.299616999999998</v>
      </c>
      <c r="J186">
        <v>0.60110200000000003</v>
      </c>
      <c r="K186">
        <v>10820.430664</v>
      </c>
      <c r="L186">
        <v>43.281723</v>
      </c>
      <c r="M186">
        <v>2.81921</v>
      </c>
      <c r="N186">
        <v>1.7916289999999999</v>
      </c>
      <c r="O186">
        <v>755.54943000000003</v>
      </c>
      <c r="P186">
        <v>12713.019581</v>
      </c>
    </row>
    <row r="187" spans="1:16" x14ac:dyDescent="0.3">
      <c r="A187" s="3">
        <v>46291.25</v>
      </c>
      <c r="B187">
        <v>-99999</v>
      </c>
      <c r="C187">
        <v>66.506782999999999</v>
      </c>
      <c r="D187">
        <v>3868.9575679999998</v>
      </c>
      <c r="E187">
        <v>117.99091300000001</v>
      </c>
      <c r="F187">
        <v>1134.28125</v>
      </c>
      <c r="G187">
        <v>3919.5935570000001</v>
      </c>
      <c r="H187">
        <v>14348.458199999999</v>
      </c>
      <c r="I187">
        <v>57.416229999999999</v>
      </c>
      <c r="J187">
        <v>3.2303549999999999</v>
      </c>
      <c r="K187">
        <v>14483.559759</v>
      </c>
      <c r="L187">
        <v>57.934238999999998</v>
      </c>
      <c r="M187">
        <v>2.1056729999999999</v>
      </c>
      <c r="N187">
        <v>1.805909</v>
      </c>
      <c r="O187">
        <v>757.45391400000005</v>
      </c>
      <c r="P187">
        <v>12770.138488000001</v>
      </c>
    </row>
    <row r="188" spans="1:16" x14ac:dyDescent="0.3">
      <c r="A188" s="3">
        <v>46292.25</v>
      </c>
      <c r="B188">
        <v>-99999</v>
      </c>
      <c r="C188">
        <v>65.670586</v>
      </c>
      <c r="D188">
        <v>3870.423389</v>
      </c>
      <c r="E188">
        <v>118.088936</v>
      </c>
      <c r="F188">
        <v>1159.1054690000001</v>
      </c>
      <c r="G188">
        <v>3919.101611</v>
      </c>
      <c r="H188">
        <v>13888.880918999999</v>
      </c>
      <c r="I188">
        <v>55.580758000000003</v>
      </c>
      <c r="J188">
        <v>5.7157309999999999</v>
      </c>
      <c r="K188">
        <v>14241.660846999999</v>
      </c>
      <c r="L188">
        <v>56.966642999999998</v>
      </c>
      <c r="M188">
        <v>4.5277339999999997</v>
      </c>
      <c r="N188">
        <v>1.8201510000000001</v>
      </c>
      <c r="O188">
        <v>761.98074799999995</v>
      </c>
      <c r="P188">
        <v>12827.105426</v>
      </c>
    </row>
    <row r="189" spans="1:16" x14ac:dyDescent="0.3">
      <c r="A189" s="3">
        <v>46293.265972222223</v>
      </c>
      <c r="B189">
        <v>2479.6941409999999</v>
      </c>
      <c r="C189">
        <v>61.269730000000003</v>
      </c>
      <c r="D189">
        <v>3897.7673829999999</v>
      </c>
      <c r="E189">
        <v>118.405396</v>
      </c>
      <c r="F189">
        <v>1418.0732419999999</v>
      </c>
      <c r="G189">
        <v>3941.631547</v>
      </c>
      <c r="H189">
        <v>12751.344562</v>
      </c>
      <c r="I189">
        <v>51.002426999999997</v>
      </c>
      <c r="J189">
        <v>7.6582629999999998</v>
      </c>
      <c r="K189">
        <v>13787.903597</v>
      </c>
      <c r="L189">
        <v>55.144722999999999</v>
      </c>
      <c r="M189">
        <v>6.9152769999999997</v>
      </c>
      <c r="N189">
        <v>1.8338399999999999</v>
      </c>
      <c r="O189">
        <v>769.039671</v>
      </c>
      <c r="P189">
        <v>12882.945873000001</v>
      </c>
    </row>
    <row r="190" spans="1:16" x14ac:dyDescent="0.3">
      <c r="A190" s="3">
        <v>46294.25</v>
      </c>
      <c r="B190">
        <v>-99999</v>
      </c>
      <c r="C190">
        <v>-99999</v>
      </c>
      <c r="D190">
        <v>3868.8701660000002</v>
      </c>
      <c r="E190">
        <v>118.234093</v>
      </c>
      <c r="F190">
        <v>1126.1457519999999</v>
      </c>
      <c r="G190">
        <v>3914.4676939999999</v>
      </c>
      <c r="H190">
        <v>13525.459263000001</v>
      </c>
      <c r="I190">
        <v>52.788401999999998</v>
      </c>
      <c r="J190">
        <v>1.959876</v>
      </c>
      <c r="K190">
        <v>9548.7127469999996</v>
      </c>
      <c r="L190">
        <v>38.150131999999999</v>
      </c>
      <c r="M190">
        <v>1.546516</v>
      </c>
      <c r="N190">
        <v>1.842562</v>
      </c>
      <c r="O190">
        <v>770.56148499999995</v>
      </c>
      <c r="P190">
        <v>12920.486661999999</v>
      </c>
    </row>
    <row r="191" spans="1:16" x14ac:dyDescent="0.3">
      <c r="A191" s="3">
        <v>46295.25</v>
      </c>
      <c r="B191">
        <v>3045.2095210000002</v>
      </c>
      <c r="C191">
        <v>-99999</v>
      </c>
      <c r="D191">
        <v>4177.3132809999997</v>
      </c>
      <c r="E191">
        <v>119.38414</v>
      </c>
      <c r="F191">
        <v>1132.10376</v>
      </c>
      <c r="G191">
        <v>4196.6179949999996</v>
      </c>
      <c r="H191">
        <v>4964.9312819999996</v>
      </c>
      <c r="I191">
        <v>0</v>
      </c>
      <c r="J191">
        <v>0</v>
      </c>
      <c r="K191">
        <v>12741.851500000001</v>
      </c>
      <c r="L191">
        <v>50.972681999999999</v>
      </c>
      <c r="M191">
        <v>2.976461</v>
      </c>
      <c r="N191">
        <v>1.8550720000000001</v>
      </c>
      <c r="O191">
        <v>773.53794700000003</v>
      </c>
      <c r="P191">
        <v>12971.459344000001</v>
      </c>
    </row>
    <row r="192" spans="1:16" x14ac:dyDescent="0.3">
      <c r="A192" s="3">
        <v>46296.330555555556</v>
      </c>
      <c r="B192">
        <v>2712.8882319999998</v>
      </c>
      <c r="C192">
        <v>65.796211</v>
      </c>
      <c r="D192">
        <v>3844.6699709999998</v>
      </c>
      <c r="E192">
        <v>118.066734</v>
      </c>
      <c r="F192">
        <v>1131.781739</v>
      </c>
      <c r="G192">
        <v>3890.6005300000002</v>
      </c>
      <c r="H192">
        <v>13644.538705999999</v>
      </c>
      <c r="I192">
        <v>53.012512000000001</v>
      </c>
      <c r="J192">
        <v>2.2235800000000001</v>
      </c>
      <c r="K192">
        <v>6117.4854450000003</v>
      </c>
      <c r="L192">
        <v>24.469942</v>
      </c>
      <c r="M192">
        <v>0.34948400000000002</v>
      </c>
      <c r="N192">
        <v>1.8622909999999999</v>
      </c>
      <c r="O192">
        <v>774.28591900000004</v>
      </c>
      <c r="P192">
        <v>13000.338808</v>
      </c>
    </row>
    <row r="193" spans="1:16" x14ac:dyDescent="0.3">
      <c r="A193" s="3">
        <v>46297.25</v>
      </c>
      <c r="B193">
        <v>2660.8708980000001</v>
      </c>
      <c r="C193">
        <v>65.631325000000004</v>
      </c>
      <c r="D193">
        <v>3843.7236819999998</v>
      </c>
      <c r="E193">
        <v>118.100555</v>
      </c>
      <c r="F193">
        <v>1182.8527839999999</v>
      </c>
      <c r="G193">
        <v>3888.8641080000002</v>
      </c>
      <c r="H193">
        <v>13443.888913000001</v>
      </c>
      <c r="I193">
        <v>52.135522999999999</v>
      </c>
      <c r="J193">
        <v>5.9387879999999997</v>
      </c>
      <c r="K193">
        <v>13403.907208000001</v>
      </c>
      <c r="L193">
        <v>53.614460999999999</v>
      </c>
      <c r="M193">
        <v>4.1700999999999997</v>
      </c>
      <c r="N193">
        <v>1.8745309999999999</v>
      </c>
      <c r="O193">
        <v>778.12009499999999</v>
      </c>
      <c r="P193">
        <v>13049.634327</v>
      </c>
    </row>
    <row r="194" spans="1:16" x14ac:dyDescent="0.3">
      <c r="A194" s="3">
        <v>46298.25</v>
      </c>
      <c r="B194">
        <v>-99999</v>
      </c>
      <c r="C194">
        <v>66.043532999999996</v>
      </c>
      <c r="D194">
        <v>3818.4756349999998</v>
      </c>
      <c r="E194">
        <v>117.93414300000001</v>
      </c>
      <c r="F194">
        <v>1117.953614</v>
      </c>
      <c r="G194">
        <v>3864.3185739999999</v>
      </c>
      <c r="H194">
        <v>13866.063534999999</v>
      </c>
      <c r="I194">
        <v>52.701394999999998</v>
      </c>
      <c r="J194">
        <v>6.5876739999999998</v>
      </c>
      <c r="K194">
        <v>11998.644882000001</v>
      </c>
      <c r="L194">
        <v>47.994579999999999</v>
      </c>
      <c r="M194">
        <v>5.9607570000000001</v>
      </c>
      <c r="N194">
        <v>1.88653</v>
      </c>
      <c r="O194">
        <v>784.08085200000005</v>
      </c>
      <c r="P194">
        <v>13097.628906</v>
      </c>
    </row>
    <row r="195" spans="1:16" x14ac:dyDescent="0.3">
      <c r="A195" s="3">
        <v>46299.250347222223</v>
      </c>
      <c r="B195">
        <v>242.364948</v>
      </c>
      <c r="C195">
        <v>79.022323999999998</v>
      </c>
      <c r="D195">
        <v>4172.4231449999997</v>
      </c>
      <c r="E195">
        <v>121.016701</v>
      </c>
      <c r="F195">
        <v>3930.0581980000002</v>
      </c>
      <c r="G195">
        <v>4191.7209670000002</v>
      </c>
      <c r="H195">
        <v>4466.3162620000003</v>
      </c>
      <c r="I195">
        <v>0</v>
      </c>
      <c r="J195">
        <v>0</v>
      </c>
      <c r="K195">
        <v>7127.0148650000001</v>
      </c>
      <c r="L195">
        <v>28.508058999999999</v>
      </c>
      <c r="M195">
        <v>3.563507</v>
      </c>
      <c r="N195">
        <v>1.8936470000000001</v>
      </c>
      <c r="O195">
        <v>787.63941</v>
      </c>
      <c r="P195">
        <v>13126.097371</v>
      </c>
    </row>
    <row r="196" spans="1:16" x14ac:dyDescent="0.3">
      <c r="A196" s="3">
        <v>46300.25</v>
      </c>
      <c r="B196">
        <v>-99999</v>
      </c>
      <c r="C196">
        <v>80.133330999999998</v>
      </c>
      <c r="D196">
        <v>4216.8728520000004</v>
      </c>
      <c r="E196">
        <v>122.31057699999999</v>
      </c>
      <c r="F196">
        <v>4007.3759719999998</v>
      </c>
      <c r="G196">
        <v>4236.2891769999997</v>
      </c>
      <c r="H196">
        <v>3247.0692199999999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1.8936470000000001</v>
      </c>
      <c r="O196">
        <v>787.63941</v>
      </c>
      <c r="P196">
        <v>13126.097371</v>
      </c>
    </row>
    <row r="197" spans="1:16" x14ac:dyDescent="0.3">
      <c r="A197" s="3">
        <v>46301.250694444447</v>
      </c>
      <c r="B197">
        <v>-99999</v>
      </c>
      <c r="C197">
        <v>64.645943000000003</v>
      </c>
      <c r="D197">
        <v>3738.315967</v>
      </c>
      <c r="E197">
        <v>116.815895</v>
      </c>
      <c r="F197">
        <v>1103.1591800000001</v>
      </c>
      <c r="G197">
        <v>3788.9797410000001</v>
      </c>
      <c r="H197">
        <v>15767.012256</v>
      </c>
      <c r="I197">
        <v>56.739854999999999</v>
      </c>
      <c r="J197">
        <v>7.0924820000000004</v>
      </c>
      <c r="K197">
        <v>5056.4740549999997</v>
      </c>
      <c r="L197">
        <v>20.221201000000001</v>
      </c>
      <c r="M197">
        <v>2.52765</v>
      </c>
      <c r="N197">
        <v>1.8985609999999999</v>
      </c>
      <c r="O197">
        <v>790.17515600000002</v>
      </c>
      <c r="P197">
        <v>13146.383335</v>
      </c>
    </row>
    <row r="198" spans="1:16" x14ac:dyDescent="0.3">
      <c r="A198" s="3">
        <v>46302.25</v>
      </c>
      <c r="B198">
        <v>-99999</v>
      </c>
      <c r="C198">
        <v>66.114204000000001</v>
      </c>
      <c r="D198">
        <v>3780.3381840000002</v>
      </c>
      <c r="E198">
        <v>117.32827</v>
      </c>
      <c r="F198">
        <v>1115.148682</v>
      </c>
      <c r="G198">
        <v>3824.952734</v>
      </c>
      <c r="H198">
        <v>14302.607462</v>
      </c>
      <c r="I198">
        <v>51.386465000000001</v>
      </c>
      <c r="J198">
        <v>6.4233079999999996</v>
      </c>
      <c r="K198">
        <v>13172.130510000001</v>
      </c>
      <c r="L198">
        <v>52.688546000000002</v>
      </c>
      <c r="M198">
        <v>6.586068</v>
      </c>
      <c r="N198">
        <v>1.9116709999999999</v>
      </c>
      <c r="O198">
        <v>796.75665000000004</v>
      </c>
      <c r="P198">
        <v>13199.035292</v>
      </c>
    </row>
    <row r="199" spans="1:16" x14ac:dyDescent="0.3">
      <c r="A199" s="3">
        <v>46303.281944444447</v>
      </c>
      <c r="B199">
        <v>2651.4487789999998</v>
      </c>
      <c r="C199">
        <v>66.644188</v>
      </c>
      <c r="D199">
        <v>3773.5913569999998</v>
      </c>
      <c r="E199">
        <v>117.3545</v>
      </c>
      <c r="F199">
        <v>1122.142578</v>
      </c>
      <c r="G199">
        <v>3818.2068650000001</v>
      </c>
      <c r="H199">
        <v>14253.133078999999</v>
      </c>
      <c r="I199">
        <v>51.364440999999999</v>
      </c>
      <c r="J199">
        <v>6.4205550000000002</v>
      </c>
      <c r="K199">
        <v>12790.736704000001</v>
      </c>
      <c r="L199">
        <v>51.162911000000001</v>
      </c>
      <c r="M199">
        <v>6.3953639999999998</v>
      </c>
      <c r="N199">
        <v>1.924885</v>
      </c>
      <c r="O199">
        <v>803.36784299999999</v>
      </c>
      <c r="P199">
        <v>13251.924836</v>
      </c>
    </row>
    <row r="200" spans="1:16" x14ac:dyDescent="0.3">
      <c r="A200" s="3">
        <v>46304.25</v>
      </c>
      <c r="B200">
        <v>2643.400928</v>
      </c>
      <c r="C200">
        <v>66.145606999999998</v>
      </c>
      <c r="D200">
        <v>3768.5867189999999</v>
      </c>
      <c r="E200">
        <v>117.442001</v>
      </c>
      <c r="F200">
        <v>1125.1857910000001</v>
      </c>
      <c r="G200">
        <v>3812.994158</v>
      </c>
      <c r="H200">
        <v>14173.965697</v>
      </c>
      <c r="I200">
        <v>51.147081999999997</v>
      </c>
      <c r="J200">
        <v>6.3933850000000003</v>
      </c>
      <c r="K200">
        <v>12755.741956</v>
      </c>
      <c r="L200">
        <v>51.018963999999997</v>
      </c>
      <c r="M200">
        <v>6.37737</v>
      </c>
      <c r="N200">
        <v>1.937066</v>
      </c>
      <c r="O200">
        <v>809.54149199999995</v>
      </c>
      <c r="P200">
        <v>13301.314027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EF51-D4BC-4E0C-9CBC-BB61E835814C}">
  <dimension ref="A1:L56"/>
  <sheetViews>
    <sheetView workbookViewId="0">
      <selection activeCell="A6" sqref="A6:L30"/>
    </sheetView>
  </sheetViews>
  <sheetFormatPr defaultRowHeight="14.4" x14ac:dyDescent="0.3"/>
  <cols>
    <col min="1" max="1" width="10.33203125" bestFit="1" customWidth="1"/>
  </cols>
  <sheetData>
    <row r="1" spans="1:12" x14ac:dyDescent="0.3">
      <c r="I1" t="s">
        <v>0</v>
      </c>
      <c r="K1" t="s">
        <v>1</v>
      </c>
    </row>
    <row r="3" spans="1:12" x14ac:dyDescent="0.3">
      <c r="I3" t="s">
        <v>2</v>
      </c>
      <c r="J3" t="s">
        <v>3</v>
      </c>
      <c r="K3" t="s">
        <v>2</v>
      </c>
      <c r="L3" t="s">
        <v>3</v>
      </c>
    </row>
    <row r="4" spans="1:12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</row>
    <row r="5" spans="1:12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21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</row>
    <row r="6" spans="1:12" x14ac:dyDescent="0.3">
      <c r="A6" s="1">
        <v>46146.095358796294</v>
      </c>
      <c r="B6" t="s">
        <v>76</v>
      </c>
      <c r="C6" s="5">
        <v>95.89</v>
      </c>
      <c r="D6">
        <v>14.364000000000001</v>
      </c>
      <c r="E6">
        <v>7443</v>
      </c>
      <c r="F6" s="6">
        <v>11.545999999999999</v>
      </c>
      <c r="G6" s="6">
        <v>71.171899999999994</v>
      </c>
      <c r="H6" s="7">
        <v>1.6039000000000001E-2</v>
      </c>
      <c r="I6" s="5">
        <v>3.4156830956067634</v>
      </c>
      <c r="J6" s="5">
        <v>1.8244834228803837</v>
      </c>
      <c r="K6" s="5">
        <v>1.9563476785394869</v>
      </c>
      <c r="L6" s="5">
        <v>1.0363408521303259</v>
      </c>
    </row>
    <row r="7" spans="1:12" x14ac:dyDescent="0.3">
      <c r="A7" s="1">
        <v>46149.30574074074</v>
      </c>
      <c r="B7" t="s">
        <v>77</v>
      </c>
      <c r="C7" s="5">
        <v>64.78</v>
      </c>
      <c r="D7">
        <v>6.4539999999999997</v>
      </c>
      <c r="E7">
        <v>7315</v>
      </c>
      <c r="F7" s="6">
        <v>11.571999999999999</v>
      </c>
      <c r="G7" s="6">
        <v>72.675299999999993</v>
      </c>
      <c r="H7" s="7">
        <v>4.8210000000000003E-2</v>
      </c>
      <c r="I7" s="5">
        <v>2.506203036018039</v>
      </c>
      <c r="J7" s="5">
        <v>1.3549278141401666</v>
      </c>
      <c r="K7" s="5">
        <v>2.1319852991546195</v>
      </c>
      <c r="L7" s="5">
        <v>1.1334056399132322</v>
      </c>
    </row>
    <row r="8" spans="1:12" x14ac:dyDescent="0.3">
      <c r="A8" s="1">
        <v>46150.008275462962</v>
      </c>
      <c r="B8" t="s">
        <v>78</v>
      </c>
      <c r="C8" s="5">
        <v>56.53</v>
      </c>
      <c r="D8">
        <v>6.1289999999999996</v>
      </c>
      <c r="E8">
        <v>7279</v>
      </c>
      <c r="F8" s="6">
        <v>11.654999999999999</v>
      </c>
      <c r="G8" s="6">
        <v>73.113699999999994</v>
      </c>
      <c r="H8" s="7">
        <v>5.8770000000000003E-2</v>
      </c>
      <c r="I8" s="5">
        <v>2.8786753402126384</v>
      </c>
      <c r="J8" s="5">
        <v>1.5595084574562179</v>
      </c>
      <c r="K8" s="5">
        <v>2.2315756618407159</v>
      </c>
      <c r="L8" s="5">
        <v>1.1876325664871921</v>
      </c>
    </row>
    <row r="9" spans="1:12" x14ac:dyDescent="0.3">
      <c r="A9" s="1">
        <v>46153.394444444442</v>
      </c>
      <c r="B9" t="s">
        <v>79</v>
      </c>
      <c r="C9" s="5">
        <v>43.77</v>
      </c>
      <c r="D9">
        <v>4.4269999999999996</v>
      </c>
      <c r="E9">
        <v>7148</v>
      </c>
      <c r="F9" s="6">
        <v>11.383899999999999</v>
      </c>
      <c r="G9" s="6">
        <v>74.769900000000007</v>
      </c>
      <c r="H9" s="7">
        <v>9.8820000000000005E-2</v>
      </c>
      <c r="I9" s="5">
        <v>3.5772857032443874</v>
      </c>
      <c r="J9" s="5">
        <v>1.9579042403472695</v>
      </c>
      <c r="K9" s="5">
        <v>3.0210901034283579</v>
      </c>
      <c r="L9" s="5">
        <v>1.6146374519990965</v>
      </c>
    </row>
    <row r="10" spans="1:12" x14ac:dyDescent="0.3">
      <c r="A10" s="1">
        <v>46160.398900462962</v>
      </c>
      <c r="B10" t="s">
        <v>80</v>
      </c>
      <c r="C10" s="5">
        <v>60.79</v>
      </c>
      <c r="D10">
        <v>4.3810000000000002</v>
      </c>
      <c r="E10">
        <v>6907</v>
      </c>
      <c r="F10" s="6">
        <v>15.857299999999999</v>
      </c>
      <c r="G10" s="6">
        <v>78.093599999999995</v>
      </c>
      <c r="H10" s="7">
        <v>0.16694999999999999</v>
      </c>
      <c r="I10" s="5">
        <v>3.5072206347500279</v>
      </c>
      <c r="J10" s="5">
        <v>1.9686669123211051</v>
      </c>
      <c r="K10" s="5">
        <v>2.9228821375346663</v>
      </c>
      <c r="L10" s="5">
        <v>1.5765806893403334</v>
      </c>
    </row>
    <row r="11" spans="1:12" x14ac:dyDescent="0.3">
      <c r="A11" s="1">
        <v>46161.867939814816</v>
      </c>
      <c r="B11" t="s">
        <v>81</v>
      </c>
      <c r="C11" s="5">
        <v>55.67</v>
      </c>
      <c r="D11">
        <v>4.3810000000000002</v>
      </c>
      <c r="E11">
        <v>6834</v>
      </c>
      <c r="F11" s="6">
        <v>15.527899999999999</v>
      </c>
      <c r="G11" s="6">
        <v>79.1768</v>
      </c>
      <c r="H11" s="7">
        <v>0.19761999999999999</v>
      </c>
      <c r="I11" s="5">
        <v>3.7204651910812525</v>
      </c>
      <c r="J11" s="5">
        <v>2.1038112807616307</v>
      </c>
      <c r="K11" s="5">
        <v>2.8828948441434514</v>
      </c>
      <c r="L11" s="5">
        <v>1.5599178269801415</v>
      </c>
    </row>
    <row r="12" spans="1:12" x14ac:dyDescent="0.3">
      <c r="A12" s="1">
        <v>46164.43172453704</v>
      </c>
      <c r="B12" t="s">
        <v>82</v>
      </c>
      <c r="C12" s="5">
        <v>47.97</v>
      </c>
      <c r="D12">
        <v>4.3810000000000002</v>
      </c>
      <c r="E12">
        <v>6748</v>
      </c>
      <c r="F12" s="6">
        <v>15.1934</v>
      </c>
      <c r="G12" s="6">
        <v>80.502300000000005</v>
      </c>
      <c r="H12" s="7">
        <v>0.23319999999999999</v>
      </c>
      <c r="I12" s="5">
        <v>4.1675859879452508</v>
      </c>
      <c r="J12" s="5">
        <v>2.3704746132999794</v>
      </c>
      <c r="K12" s="5">
        <v>2.8354269194268635</v>
      </c>
      <c r="L12" s="5">
        <v>1.5402876055695047</v>
      </c>
    </row>
    <row r="13" spans="1:12" x14ac:dyDescent="0.3">
      <c r="A13" s="1">
        <v>46166.698506944442</v>
      </c>
      <c r="B13" t="s">
        <v>83</v>
      </c>
      <c r="C13" s="5">
        <v>39.08</v>
      </c>
      <c r="D13">
        <v>4.3810000000000002</v>
      </c>
      <c r="E13">
        <v>6630</v>
      </c>
      <c r="F13" s="6">
        <v>14.612200000000001</v>
      </c>
      <c r="G13" s="6">
        <v>82.413700000000006</v>
      </c>
      <c r="H13" s="7">
        <v>0.28050000000000003</v>
      </c>
      <c r="I13" s="5">
        <v>4.8174254219241597</v>
      </c>
      <c r="J13" s="5">
        <v>2.7594888945752305</v>
      </c>
      <c r="K13" s="5">
        <v>2.7696655834621815</v>
      </c>
      <c r="L13" s="5">
        <v>1.513353115727003</v>
      </c>
    </row>
    <row r="14" spans="1:12" x14ac:dyDescent="0.3">
      <c r="A14" s="1">
        <v>46189.169108796297</v>
      </c>
      <c r="B14" t="s">
        <v>84</v>
      </c>
      <c r="C14" s="5">
        <v>27.33</v>
      </c>
      <c r="D14">
        <v>2.4929999999999999</v>
      </c>
      <c r="E14">
        <v>5962</v>
      </c>
      <c r="F14" s="6">
        <v>14.612200000000001</v>
      </c>
      <c r="G14" s="6">
        <v>95.694699999999997</v>
      </c>
      <c r="H14" s="7">
        <v>0.52859509952707895</v>
      </c>
      <c r="I14" s="5">
        <v>6.1157162787349142</v>
      </c>
      <c r="J14" s="5">
        <v>3.7162254105406172</v>
      </c>
      <c r="K14" s="5">
        <v>4.1916965600545835</v>
      </c>
      <c r="L14" s="5">
        <v>2.3914961893301245</v>
      </c>
    </row>
    <row r="15" spans="1:12" x14ac:dyDescent="0.3">
      <c r="A15" s="1">
        <v>46195.088090277779</v>
      </c>
      <c r="B15" t="s">
        <v>85</v>
      </c>
      <c r="C15" s="5">
        <v>24.69</v>
      </c>
      <c r="D15">
        <v>1.9730000000000001</v>
      </c>
      <c r="E15">
        <v>5800</v>
      </c>
      <c r="F15" s="6">
        <v>14.612200000000001</v>
      </c>
      <c r="G15" s="6">
        <v>99.695800000000006</v>
      </c>
      <c r="H15" s="7">
        <v>0.61535656216002599</v>
      </c>
      <c r="I15" s="5">
        <v>6.551681366873721</v>
      </c>
      <c r="J15" s="5">
        <v>4.0479511348615249</v>
      </c>
      <c r="K15" s="5">
        <v>5.0838889102881071</v>
      </c>
      <c r="L15" s="5">
        <v>2.9396857577293463</v>
      </c>
    </row>
    <row r="16" spans="1:12" x14ac:dyDescent="0.3">
      <c r="A16" s="1">
        <v>46199.681261574071</v>
      </c>
      <c r="B16" t="s">
        <v>86</v>
      </c>
      <c r="C16" s="5">
        <v>27.37</v>
      </c>
      <c r="D16">
        <v>2.0939999999999999</v>
      </c>
      <c r="E16">
        <v>5663</v>
      </c>
      <c r="F16" s="6">
        <v>15.5</v>
      </c>
      <c r="G16" s="6">
        <v>103.36879999999999</v>
      </c>
      <c r="H16" s="7">
        <v>0.685198691787826</v>
      </c>
      <c r="I16" s="5">
        <v>6.1637713550528046</v>
      </c>
      <c r="J16" s="5">
        <v>3.8922319398696672</v>
      </c>
      <c r="K16" s="5">
        <v>4.6199135407943581</v>
      </c>
      <c r="L16" s="5">
        <v>2.7043935052531043</v>
      </c>
    </row>
    <row r="17" spans="1:12" x14ac:dyDescent="0.3">
      <c r="A17" s="1">
        <v>46207.820150462961</v>
      </c>
      <c r="B17" t="s">
        <v>87</v>
      </c>
      <c r="C17" s="5">
        <v>26.41</v>
      </c>
      <c r="D17">
        <v>2.4780000000000002</v>
      </c>
      <c r="E17">
        <v>5438</v>
      </c>
      <c r="F17" s="6">
        <v>15.6</v>
      </c>
      <c r="G17" s="6">
        <v>110.0659</v>
      </c>
      <c r="H17" s="7">
        <v>0.81089391250912801</v>
      </c>
      <c r="I17" s="5">
        <v>6.1775455862761559</v>
      </c>
      <c r="J17" s="5">
        <v>4.0230408265568371</v>
      </c>
      <c r="K17" s="5">
        <v>3.6664511988624824</v>
      </c>
      <c r="L17" s="5">
        <v>2.1945117029862793</v>
      </c>
    </row>
    <row r="18" spans="1:12" x14ac:dyDescent="0.3">
      <c r="A18" s="1">
        <v>46217.026458333334</v>
      </c>
      <c r="B18" t="s">
        <v>88</v>
      </c>
      <c r="C18" s="5">
        <v>18.521999999999998</v>
      </c>
      <c r="D18">
        <v>2.3660000000000001</v>
      </c>
      <c r="E18">
        <v>5177</v>
      </c>
      <c r="F18" s="6">
        <v>14.612200000000001</v>
      </c>
      <c r="G18" s="6">
        <v>119.2094</v>
      </c>
      <c r="H18" s="7">
        <v>0.95064516777977903</v>
      </c>
      <c r="I18" s="5">
        <v>7.5684998405560231</v>
      </c>
      <c r="J18" s="5">
        <v>5.0348347477387465</v>
      </c>
      <c r="K18" s="5">
        <v>3.5454776956189269</v>
      </c>
      <c r="L18" s="5">
        <v>2.1880811496196113</v>
      </c>
    </row>
    <row r="19" spans="1:12" x14ac:dyDescent="0.3">
      <c r="A19" s="1">
        <v>46221</v>
      </c>
      <c r="B19" t="s">
        <v>89</v>
      </c>
      <c r="C19" s="5">
        <v>16.634</v>
      </c>
      <c r="D19">
        <v>2.3540000000000001</v>
      </c>
      <c r="E19">
        <v>5059</v>
      </c>
      <c r="F19" s="7">
        <v>14.616</v>
      </c>
      <c r="G19" s="6">
        <v>132.48390000000001</v>
      </c>
      <c r="H19" s="7">
        <v>0.98908557282120302</v>
      </c>
      <c r="I19" s="5">
        <v>7.6214553713069462</v>
      </c>
      <c r="J19" s="5">
        <v>5.4343389093608208</v>
      </c>
      <c r="K19" s="5">
        <v>3.2064940420971095</v>
      </c>
      <c r="L19" s="5">
        <v>2.1491079014443502</v>
      </c>
    </row>
    <row r="20" spans="1:12" x14ac:dyDescent="0.3">
      <c r="A20" s="1">
        <v>46228.310150462959</v>
      </c>
      <c r="B20" t="s">
        <v>90</v>
      </c>
      <c r="C20" s="5">
        <v>12.712</v>
      </c>
      <c r="D20" s="8">
        <v>1.4280999999999999</v>
      </c>
      <c r="E20">
        <v>5011</v>
      </c>
      <c r="F20" s="7">
        <v>13.977</v>
      </c>
      <c r="G20" s="6">
        <v>136.9</v>
      </c>
      <c r="H20" s="7">
        <v>1.0860000000000001</v>
      </c>
      <c r="I20" s="5">
        <v>9.1174994292848801</v>
      </c>
      <c r="J20" s="5">
        <v>6.5956559943360613</v>
      </c>
      <c r="K20" s="5">
        <v>5.1149092494898776</v>
      </c>
      <c r="L20" s="5">
        <v>3.5088579231146282</v>
      </c>
    </row>
    <row r="21" spans="1:12" x14ac:dyDescent="0.3">
      <c r="A21" s="1">
        <v>46231.023888888885</v>
      </c>
      <c r="B21" t="s">
        <v>91</v>
      </c>
      <c r="C21" s="5">
        <v>12.071999999999999</v>
      </c>
      <c r="D21" s="8">
        <v>1.4280999999999999</v>
      </c>
      <c r="E21">
        <v>4977</v>
      </c>
      <c r="F21" s="7">
        <v>13.877000000000001</v>
      </c>
      <c r="G21" s="6">
        <v>136.0702</v>
      </c>
      <c r="H21" s="7">
        <v>1.1459999999999999</v>
      </c>
      <c r="I21" s="5">
        <v>9.5939889745913796</v>
      </c>
      <c r="J21" s="5">
        <v>6.8671587972166996</v>
      </c>
      <c r="K21" s="5">
        <v>5.1461016170709257</v>
      </c>
      <c r="L21" s="5">
        <v>3.4850500665219526</v>
      </c>
    </row>
    <row r="22" spans="1:12" x14ac:dyDescent="0.3">
      <c r="A22" s="1">
        <v>46235.423449074071</v>
      </c>
      <c r="B22" t="s">
        <v>92</v>
      </c>
      <c r="C22" s="5">
        <v>12.805999999999999</v>
      </c>
      <c r="D22">
        <v>2.13</v>
      </c>
      <c r="E22">
        <v>4953</v>
      </c>
      <c r="F22" s="7">
        <v>13.739000000000001</v>
      </c>
      <c r="G22" s="6">
        <v>138.4</v>
      </c>
      <c r="H22" s="7">
        <v>1.1865000000000001</v>
      </c>
      <c r="I22" s="5">
        <v>8.9383531324279897</v>
      </c>
      <c r="J22" s="5">
        <v>6.5003581133843511</v>
      </c>
      <c r="K22" s="5">
        <v>3.3922223126814841</v>
      </c>
      <c r="L22" s="5">
        <v>2.3253521126760561</v>
      </c>
    </row>
    <row r="23" spans="1:12" x14ac:dyDescent="0.3">
      <c r="A23" s="1">
        <v>46265.888321759259</v>
      </c>
      <c r="B23" t="s">
        <v>93</v>
      </c>
      <c r="C23" s="5">
        <v>17.428999999999998</v>
      </c>
      <c r="D23">
        <v>3.1320000000000001</v>
      </c>
      <c r="E23">
        <v>4756</v>
      </c>
      <c r="F23" s="7">
        <v>15.4</v>
      </c>
      <c r="G23" s="6">
        <v>148.70000000000002</v>
      </c>
      <c r="H23" s="7">
        <v>1.4692000000000001</v>
      </c>
      <c r="I23" s="5">
        <v>7.4112634154756716</v>
      </c>
      <c r="J23" s="5">
        <v>5.6715294509151422</v>
      </c>
      <c r="K23" s="5">
        <v>2.1471741899355932</v>
      </c>
      <c r="L23" s="5">
        <v>1.5185185185185186</v>
      </c>
    </row>
    <row r="24" spans="1:12" x14ac:dyDescent="0.3">
      <c r="A24" s="1">
        <v>46278.491724537038</v>
      </c>
      <c r="B24" t="s">
        <v>94</v>
      </c>
      <c r="C24" s="5">
        <v>14.206</v>
      </c>
      <c r="D24" s="8">
        <v>3.3359999999999999</v>
      </c>
      <c r="E24">
        <v>4544</v>
      </c>
      <c r="F24" s="7">
        <v>14.438000000000001</v>
      </c>
      <c r="G24" s="6">
        <v>159.9</v>
      </c>
      <c r="H24" s="7">
        <v>1.6442000000000001</v>
      </c>
      <c r="I24" s="5">
        <v>8.0002420743747606</v>
      </c>
      <c r="J24" s="5">
        <v>6.2624086442348297</v>
      </c>
      <c r="K24" s="5">
        <v>1.8746728695842578</v>
      </c>
      <c r="L24" s="5">
        <v>1.3621103117505995</v>
      </c>
    </row>
    <row r="25" spans="1:12" x14ac:dyDescent="0.3">
      <c r="A25" s="1">
        <v>46282.511863425927</v>
      </c>
      <c r="B25" t="s">
        <v>95</v>
      </c>
      <c r="C25" s="5">
        <v>15.406000000000001</v>
      </c>
      <c r="D25" s="8">
        <v>3.681</v>
      </c>
      <c r="E25">
        <v>4468</v>
      </c>
      <c r="F25" s="7">
        <v>14.3803</v>
      </c>
      <c r="G25" s="6">
        <v>164.20000000000002</v>
      </c>
      <c r="H25" s="7">
        <v>1.6980999999999999</v>
      </c>
      <c r="I25" s="5">
        <v>7.3827653066975021</v>
      </c>
      <c r="J25" s="5">
        <v>5.8686296897312733</v>
      </c>
      <c r="K25" s="5">
        <v>1.6544781263101398</v>
      </c>
      <c r="L25" s="5">
        <v>1.2138005976636783</v>
      </c>
    </row>
    <row r="26" spans="1:12" x14ac:dyDescent="0.3">
      <c r="A26" s="1">
        <v>46287.37164351852</v>
      </c>
      <c r="B26" t="s">
        <v>96</v>
      </c>
      <c r="C26" s="5">
        <v>17.899999999999999</v>
      </c>
      <c r="D26">
        <v>6.0940000000000003</v>
      </c>
      <c r="E26">
        <v>4391</v>
      </c>
      <c r="F26" s="6">
        <v>14.38</v>
      </c>
      <c r="G26" s="6">
        <v>168.8</v>
      </c>
      <c r="H26" s="7">
        <v>1.7574000000000001</v>
      </c>
      <c r="I26" s="5">
        <v>6.5165940480288072</v>
      </c>
      <c r="J26" s="5">
        <v>5.2849184357541903</v>
      </c>
      <c r="K26" s="5">
        <v>0.97213170595893394</v>
      </c>
      <c r="L26" s="5">
        <v>0.72054479816212669</v>
      </c>
    </row>
    <row r="27" spans="1:12" x14ac:dyDescent="0.3">
      <c r="A27" s="1">
        <v>46290.77238425926</v>
      </c>
      <c r="B27" t="s">
        <v>97</v>
      </c>
      <c r="C27" s="5">
        <v>16.783999999999999</v>
      </c>
      <c r="D27">
        <v>5.407</v>
      </c>
      <c r="E27">
        <v>4340</v>
      </c>
      <c r="F27" s="6">
        <v>14.4572</v>
      </c>
      <c r="G27" s="6">
        <v>172</v>
      </c>
      <c r="H27" s="7">
        <v>1.8025</v>
      </c>
      <c r="I27" s="5">
        <v>6.8104533110160288</v>
      </c>
      <c r="J27" s="5">
        <v>5.5408369876072445</v>
      </c>
      <c r="K27" s="5">
        <v>1.0752641924120756</v>
      </c>
      <c r="L27" s="5">
        <v>0.80266321435176624</v>
      </c>
    </row>
    <row r="28" spans="1:12" x14ac:dyDescent="0.3">
      <c r="A28" s="1">
        <v>46294.813877314817</v>
      </c>
      <c r="B28" t="s">
        <v>98</v>
      </c>
      <c r="C28" s="5">
        <v>12.839</v>
      </c>
      <c r="D28" s="8">
        <v>5.407</v>
      </c>
      <c r="E28">
        <v>4271</v>
      </c>
      <c r="F28" s="6">
        <v>12.8367</v>
      </c>
      <c r="G28" s="6">
        <v>176.3</v>
      </c>
      <c r="H28" s="7">
        <v>1.8528</v>
      </c>
      <c r="I28" s="5">
        <v>7.5239336263318162</v>
      </c>
      <c r="J28" s="5">
        <v>6.1230348858945405</v>
      </c>
      <c r="K28" s="5">
        <v>1.0490382364995858</v>
      </c>
      <c r="L28" s="5">
        <v>0.78990197891621972</v>
      </c>
    </row>
    <row r="29" spans="1:12" x14ac:dyDescent="0.3">
      <c r="A29" s="1">
        <v>46297.391712962963</v>
      </c>
      <c r="B29" t="s">
        <v>99</v>
      </c>
      <c r="C29" s="5">
        <v>9.6999999999999993</v>
      </c>
      <c r="D29">
        <v>3.7410000000000001</v>
      </c>
      <c r="E29">
        <v>4326</v>
      </c>
      <c r="F29" s="6">
        <v>0</v>
      </c>
      <c r="G29" s="6">
        <v>172.8</v>
      </c>
      <c r="H29" s="7">
        <v>1.8841000000000001</v>
      </c>
      <c r="I29" s="5">
        <v>1.8841000000000001</v>
      </c>
      <c r="J29" s="5">
        <v>1.8841000000000001</v>
      </c>
      <c r="K29" s="5">
        <v>1.5469224905204588</v>
      </c>
      <c r="L29" s="5">
        <v>1.1563753007217321</v>
      </c>
    </row>
    <row r="30" spans="1:12" x14ac:dyDescent="0.3">
      <c r="A30" s="1">
        <v>46302.183055555557</v>
      </c>
      <c r="B30" t="s">
        <v>100</v>
      </c>
      <c r="C30" s="5">
        <v>9.0470000000000006</v>
      </c>
      <c r="D30">
        <v>7.173</v>
      </c>
      <c r="E30">
        <v>4273</v>
      </c>
      <c r="F30" s="6">
        <v>0</v>
      </c>
      <c r="G30" s="6">
        <v>176.3</v>
      </c>
      <c r="H30" s="7">
        <v>1.9149</v>
      </c>
      <c r="I30" s="5">
        <v>1.9149</v>
      </c>
      <c r="J30" s="5">
        <v>1.9149</v>
      </c>
      <c r="K30" s="5">
        <v>0.7907639404368132</v>
      </c>
      <c r="L30" s="5">
        <v>0.5957061201728705</v>
      </c>
    </row>
    <row r="31" spans="1:12" x14ac:dyDescent="0.3">
      <c r="A31" s="1"/>
      <c r="F31" s="2"/>
      <c r="G31" s="2"/>
    </row>
    <row r="32" spans="1:12" x14ac:dyDescent="0.3">
      <c r="A32" s="1"/>
      <c r="F32" s="2"/>
      <c r="G32" s="2"/>
    </row>
    <row r="33" spans="1:7" x14ac:dyDescent="0.3">
      <c r="A33" s="1"/>
      <c r="F33" s="2"/>
      <c r="G33" s="2"/>
    </row>
    <row r="34" spans="1:7" x14ac:dyDescent="0.3">
      <c r="A34" s="1"/>
      <c r="F34" s="2"/>
      <c r="G34" s="2"/>
    </row>
    <row r="35" spans="1:7" x14ac:dyDescent="0.3">
      <c r="A35" s="1"/>
      <c r="F35" s="2"/>
      <c r="G35" s="2"/>
    </row>
    <row r="36" spans="1:7" x14ac:dyDescent="0.3">
      <c r="A36" s="1"/>
      <c r="F36" s="2"/>
      <c r="G36" s="2"/>
    </row>
    <row r="37" spans="1:7" x14ac:dyDescent="0.3">
      <c r="A37" s="1"/>
      <c r="F37" s="2"/>
      <c r="G37" s="2"/>
    </row>
    <row r="38" spans="1:7" x14ac:dyDescent="0.3">
      <c r="A38" s="1"/>
      <c r="F38" s="2"/>
      <c r="G38" s="2"/>
    </row>
    <row r="39" spans="1:7" x14ac:dyDescent="0.3">
      <c r="A39" s="1"/>
      <c r="F39" s="2"/>
      <c r="G39" s="2"/>
    </row>
    <row r="40" spans="1:7" x14ac:dyDescent="0.3">
      <c r="A40" s="1"/>
      <c r="F40" s="2"/>
      <c r="G40" s="2"/>
    </row>
    <row r="41" spans="1:7" x14ac:dyDescent="0.3">
      <c r="A41" s="1"/>
      <c r="F41" s="2"/>
      <c r="G41" s="2"/>
    </row>
    <row r="42" spans="1:7" x14ac:dyDescent="0.3">
      <c r="A42" s="1"/>
      <c r="F42" s="2"/>
      <c r="G42" s="2"/>
    </row>
    <row r="43" spans="1:7" x14ac:dyDescent="0.3">
      <c r="A43" s="1"/>
      <c r="F43" s="2"/>
      <c r="G43" s="2"/>
    </row>
    <row r="44" spans="1:7" x14ac:dyDescent="0.3">
      <c r="A44" s="1"/>
      <c r="F44" s="2"/>
      <c r="G44" s="2"/>
    </row>
    <row r="45" spans="1:7" x14ac:dyDescent="0.3">
      <c r="A45" s="1"/>
      <c r="G45" s="2"/>
    </row>
    <row r="46" spans="1:7" x14ac:dyDescent="0.3">
      <c r="A46" s="1"/>
      <c r="G46" s="2"/>
    </row>
    <row r="47" spans="1:7" x14ac:dyDescent="0.3">
      <c r="A47" s="1"/>
      <c r="G47" s="2"/>
    </row>
    <row r="48" spans="1:7" x14ac:dyDescent="0.3">
      <c r="A48" s="1"/>
      <c r="G48" s="2"/>
    </row>
    <row r="49" spans="1:7" x14ac:dyDescent="0.3">
      <c r="A49" s="1"/>
      <c r="G49" s="2"/>
    </row>
    <row r="50" spans="1:7" x14ac:dyDescent="0.3">
      <c r="A50" s="1"/>
      <c r="G50" s="2"/>
    </row>
    <row r="51" spans="1:7" x14ac:dyDescent="0.3">
      <c r="A51" s="1"/>
      <c r="G51" s="2"/>
    </row>
    <row r="52" spans="1:7" x14ac:dyDescent="0.3">
      <c r="A52" s="1"/>
      <c r="G52" s="2"/>
    </row>
    <row r="53" spans="1:7" x14ac:dyDescent="0.3">
      <c r="A53" s="1"/>
      <c r="G53" s="2"/>
    </row>
    <row r="54" spans="1:7" x14ac:dyDescent="0.3">
      <c r="A54" s="1"/>
      <c r="G54" s="2"/>
    </row>
    <row r="55" spans="1:7" x14ac:dyDescent="0.3">
      <c r="A55" s="1"/>
      <c r="G55" s="2"/>
    </row>
    <row r="56" spans="1:7" x14ac:dyDescent="0.3">
      <c r="A56" s="1"/>
      <c r="G5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5423-D8AE-4000-9AEF-D5BD10CC8DDA}">
  <dimension ref="A1:X30"/>
  <sheetViews>
    <sheetView workbookViewId="0">
      <selection activeCell="C20" sqref="C20"/>
    </sheetView>
  </sheetViews>
  <sheetFormatPr defaultRowHeight="14.4" x14ac:dyDescent="0.3"/>
  <sheetData>
    <row r="1" spans="1:24" x14ac:dyDescent="0.3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</row>
    <row r="2" spans="1:24" x14ac:dyDescent="0.3">
      <c r="A2" t="s">
        <v>65</v>
      </c>
      <c r="B2" t="s">
        <v>66</v>
      </c>
      <c r="C2" t="s">
        <v>67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19</v>
      </c>
      <c r="L2" t="s">
        <v>19</v>
      </c>
      <c r="M2" t="s">
        <v>68</v>
      </c>
      <c r="N2" t="s">
        <v>68</v>
      </c>
      <c r="P2" t="s">
        <v>69</v>
      </c>
      <c r="Q2" t="s">
        <v>33</v>
      </c>
      <c r="R2" t="s">
        <v>33</v>
      </c>
      <c r="S2" t="s">
        <v>37</v>
      </c>
      <c r="T2" t="s">
        <v>70</v>
      </c>
      <c r="U2" t="s">
        <v>71</v>
      </c>
      <c r="V2" t="s">
        <v>72</v>
      </c>
      <c r="W2" t="s">
        <v>73</v>
      </c>
    </row>
    <row r="3" spans="1:24" x14ac:dyDescent="0.3">
      <c r="A3" s="10">
        <v>46145</v>
      </c>
      <c r="B3" s="10">
        <v>46145</v>
      </c>
      <c r="C3">
        <v>2.8</v>
      </c>
      <c r="D3" t="s">
        <v>74</v>
      </c>
      <c r="E3">
        <v>4311</v>
      </c>
      <c r="F3">
        <v>6581</v>
      </c>
      <c r="G3">
        <v>11226</v>
      </c>
      <c r="H3">
        <v>11826</v>
      </c>
      <c r="I3" s="9"/>
      <c r="J3">
        <v>11983</v>
      </c>
      <c r="K3">
        <v>5201</v>
      </c>
      <c r="L3">
        <v>5201</v>
      </c>
      <c r="M3">
        <v>26.6</v>
      </c>
      <c r="N3" s="9">
        <v>39</v>
      </c>
      <c r="O3" s="9">
        <v>32.1</v>
      </c>
      <c r="P3" s="9">
        <v>344</v>
      </c>
      <c r="Q3" s="9"/>
      <c r="R3" s="9" t="s">
        <v>101</v>
      </c>
      <c r="S3" s="9">
        <v>16</v>
      </c>
      <c r="T3" s="9">
        <v>23.1</v>
      </c>
      <c r="U3" s="9">
        <v>36.51</v>
      </c>
      <c r="V3" s="4">
        <f>N3*59</f>
        <v>2301</v>
      </c>
      <c r="W3" s="17">
        <v>60614</v>
      </c>
      <c r="X3" s="5">
        <v>8.8000000000000007</v>
      </c>
    </row>
    <row r="4" spans="1:24" x14ac:dyDescent="0.3">
      <c r="A4" s="11">
        <v>46156</v>
      </c>
      <c r="B4" s="11">
        <v>46156</v>
      </c>
      <c r="C4">
        <v>2.8</v>
      </c>
      <c r="D4" t="s">
        <v>74</v>
      </c>
      <c r="E4">
        <v>3948</v>
      </c>
      <c r="F4">
        <v>5229</v>
      </c>
      <c r="G4">
        <v>10575</v>
      </c>
      <c r="H4">
        <v>10954</v>
      </c>
      <c r="I4" s="13">
        <v>6441</v>
      </c>
      <c r="J4">
        <v>11127</v>
      </c>
      <c r="K4">
        <v>5131</v>
      </c>
      <c r="L4">
        <v>5131</v>
      </c>
      <c r="M4">
        <v>32.700000000000003</v>
      </c>
      <c r="N4" s="13">
        <v>146.80000000000001</v>
      </c>
      <c r="O4" s="13">
        <v>83.3</v>
      </c>
      <c r="P4" s="13">
        <v>266</v>
      </c>
      <c r="Q4" s="13">
        <v>6728</v>
      </c>
      <c r="R4" s="13">
        <v>7106</v>
      </c>
      <c r="S4" s="13">
        <v>7.2</v>
      </c>
      <c r="T4" s="13">
        <v>40.950000000000003</v>
      </c>
      <c r="U4" s="13">
        <v>22.66</v>
      </c>
      <c r="V4" s="4">
        <f t="shared" ref="V4:V13" si="0">N4*59</f>
        <v>8661.2000000000007</v>
      </c>
      <c r="W4" s="18">
        <v>257859</v>
      </c>
      <c r="X4" s="5">
        <v>8.8000000000000007</v>
      </c>
    </row>
    <row r="5" spans="1:24" x14ac:dyDescent="0.3">
      <c r="A5" s="11">
        <v>46220</v>
      </c>
      <c r="B5" s="11">
        <v>46220</v>
      </c>
      <c r="C5">
        <v>6.3</v>
      </c>
      <c r="D5" t="s">
        <v>74</v>
      </c>
      <c r="E5">
        <v>3643</v>
      </c>
      <c r="F5">
        <v>5614</v>
      </c>
      <c r="G5">
        <v>10036</v>
      </c>
      <c r="H5">
        <v>10638</v>
      </c>
      <c r="I5" s="13">
        <v>4728</v>
      </c>
      <c r="J5">
        <v>10794</v>
      </c>
      <c r="K5">
        <v>4538</v>
      </c>
      <c r="L5">
        <v>4538</v>
      </c>
      <c r="M5">
        <v>32.5</v>
      </c>
      <c r="N5" s="13">
        <v>151.26</v>
      </c>
      <c r="O5" s="13">
        <v>73.2</v>
      </c>
      <c r="P5" s="13">
        <v>278</v>
      </c>
      <c r="Q5" s="13">
        <v>5031</v>
      </c>
      <c r="R5" s="13">
        <v>5056</v>
      </c>
      <c r="S5" s="13">
        <v>8</v>
      </c>
      <c r="T5" s="13">
        <v>48.83</v>
      </c>
      <c r="U5" s="13">
        <v>18.809999999999999</v>
      </c>
      <c r="V5" s="4">
        <f t="shared" si="0"/>
        <v>8924.34</v>
      </c>
      <c r="W5" s="18">
        <v>318186</v>
      </c>
      <c r="X5" s="5">
        <v>8.9499999999999993</v>
      </c>
    </row>
    <row r="6" spans="1:24" x14ac:dyDescent="0.3">
      <c r="A6" s="11">
        <v>46237</v>
      </c>
      <c r="B6" s="11">
        <v>46237</v>
      </c>
      <c r="C6">
        <v>6.4</v>
      </c>
      <c r="D6" t="s">
        <v>74</v>
      </c>
      <c r="E6">
        <v>3297</v>
      </c>
      <c r="F6">
        <v>4956</v>
      </c>
      <c r="G6">
        <v>9355</v>
      </c>
      <c r="H6">
        <v>9910</v>
      </c>
      <c r="I6" s="13">
        <v>4528.47</v>
      </c>
      <c r="J6">
        <v>10064</v>
      </c>
      <c r="K6">
        <v>4081</v>
      </c>
      <c r="L6">
        <v>4081</v>
      </c>
      <c r="M6">
        <v>35.1</v>
      </c>
      <c r="N6" s="13">
        <v>132</v>
      </c>
      <c r="O6" s="13">
        <v>59.8</v>
      </c>
      <c r="P6" s="13">
        <v>238</v>
      </c>
      <c r="Q6" s="13">
        <v>4791</v>
      </c>
      <c r="R6" s="13">
        <v>4949</v>
      </c>
      <c r="S6" s="13">
        <v>9.5</v>
      </c>
      <c r="T6" s="13">
        <v>51.4</v>
      </c>
      <c r="U6" s="13">
        <v>17.63</v>
      </c>
      <c r="V6" s="4">
        <f t="shared" si="0"/>
        <v>7788</v>
      </c>
      <c r="W6" s="18">
        <v>286452</v>
      </c>
      <c r="X6" s="5">
        <v>8.9499999999999993</v>
      </c>
    </row>
    <row r="7" spans="1:24" x14ac:dyDescent="0.3">
      <c r="A7" s="12">
        <v>46272</v>
      </c>
      <c r="B7" s="12">
        <v>46272</v>
      </c>
      <c r="C7">
        <v>5.6</v>
      </c>
      <c r="D7" t="s">
        <v>74</v>
      </c>
      <c r="E7">
        <v>3054</v>
      </c>
      <c r="F7">
        <v>3381</v>
      </c>
      <c r="G7">
        <v>8982</v>
      </c>
      <c r="H7">
        <v>9378</v>
      </c>
      <c r="I7" s="13">
        <v>4465</v>
      </c>
      <c r="J7">
        <v>9548</v>
      </c>
      <c r="K7">
        <v>3881</v>
      </c>
      <c r="L7">
        <v>3881</v>
      </c>
      <c r="M7">
        <v>31</v>
      </c>
      <c r="N7" s="13">
        <v>162.1</v>
      </c>
      <c r="O7" s="13">
        <v>57.9</v>
      </c>
      <c r="P7" s="13">
        <v>132</v>
      </c>
      <c r="Q7" s="13">
        <v>4612</v>
      </c>
      <c r="R7" s="13">
        <v>4661</v>
      </c>
      <c r="S7" s="13">
        <v>9.9</v>
      </c>
      <c r="T7" s="15">
        <v>64.63</v>
      </c>
      <c r="U7" s="15">
        <f>T7/9.5</f>
        <v>6.8031578947368416</v>
      </c>
      <c r="V7" s="4">
        <f t="shared" si="0"/>
        <v>9563.9</v>
      </c>
      <c r="W7" s="19">
        <v>359089</v>
      </c>
      <c r="X7" s="5">
        <v>8.9499999999999993</v>
      </c>
    </row>
    <row r="8" spans="1:24" x14ac:dyDescent="0.3">
      <c r="A8" s="11">
        <v>46281</v>
      </c>
      <c r="B8" s="11">
        <v>46281</v>
      </c>
      <c r="C8">
        <v>4.7</v>
      </c>
      <c r="D8" t="s">
        <v>74</v>
      </c>
      <c r="E8">
        <v>2859</v>
      </c>
      <c r="F8">
        <v>4178</v>
      </c>
      <c r="G8">
        <v>8601</v>
      </c>
      <c r="H8">
        <v>9051</v>
      </c>
      <c r="I8" s="13">
        <v>4229</v>
      </c>
      <c r="J8">
        <v>9204</v>
      </c>
      <c r="K8">
        <v>3640</v>
      </c>
      <c r="L8">
        <v>3640</v>
      </c>
      <c r="M8">
        <v>33.9</v>
      </c>
      <c r="N8" s="13">
        <v>130.19999999999999</v>
      </c>
      <c r="O8" s="13">
        <v>53.3</v>
      </c>
      <c r="P8" s="13">
        <v>194</v>
      </c>
      <c r="Q8" s="13">
        <v>4446</v>
      </c>
      <c r="R8" s="13">
        <v>4466</v>
      </c>
      <c r="S8" s="13">
        <v>10.5</v>
      </c>
      <c r="T8" s="15">
        <v>56.05</v>
      </c>
      <c r="U8" s="15">
        <f>T8/12162*1000</f>
        <v>4.608617003782272</v>
      </c>
      <c r="V8" s="4">
        <f t="shared" si="0"/>
        <v>7681.7999999999993</v>
      </c>
      <c r="W8" s="19">
        <v>295021.44</v>
      </c>
      <c r="X8" s="5">
        <v>8.9499999999999993</v>
      </c>
    </row>
    <row r="9" spans="1:24" x14ac:dyDescent="0.3">
      <c r="A9" s="11">
        <v>46285</v>
      </c>
      <c r="B9" s="11">
        <v>46285</v>
      </c>
      <c r="C9">
        <v>9.5</v>
      </c>
      <c r="D9" t="s">
        <v>74</v>
      </c>
      <c r="E9">
        <v>2474</v>
      </c>
      <c r="F9">
        <v>3874</v>
      </c>
      <c r="G9">
        <v>8192</v>
      </c>
      <c r="H9">
        <v>8733</v>
      </c>
      <c r="I9" s="13">
        <v>4116</v>
      </c>
      <c r="J9">
        <v>8885</v>
      </c>
      <c r="K9">
        <v>3766</v>
      </c>
      <c r="L9">
        <v>3766</v>
      </c>
      <c r="M9">
        <v>24.3</v>
      </c>
      <c r="N9" s="13">
        <v>120.63</v>
      </c>
      <c r="O9" s="13">
        <v>58.3</v>
      </c>
      <c r="P9" s="13">
        <v>217</v>
      </c>
      <c r="Q9" s="13">
        <v>4356</v>
      </c>
      <c r="R9" s="13">
        <v>4375</v>
      </c>
      <c r="S9" s="13">
        <v>9.6</v>
      </c>
      <c r="T9" s="15">
        <v>47.94</v>
      </c>
      <c r="U9" s="15">
        <f>T9/11.485</f>
        <v>4.174140182847192</v>
      </c>
      <c r="V9" s="4">
        <f t="shared" si="0"/>
        <v>7117.17</v>
      </c>
      <c r="W9" s="19">
        <v>277041.71999999997</v>
      </c>
      <c r="X9" s="5">
        <v>8.9499999999999993</v>
      </c>
    </row>
    <row r="10" spans="1:24" x14ac:dyDescent="0.3">
      <c r="A10" s="11">
        <v>46289</v>
      </c>
      <c r="B10" s="11">
        <v>46289</v>
      </c>
      <c r="C10">
        <v>88.8</v>
      </c>
      <c r="D10" t="s">
        <v>74</v>
      </c>
      <c r="E10">
        <v>2342</v>
      </c>
      <c r="F10">
        <v>3726</v>
      </c>
      <c r="G10">
        <v>7705</v>
      </c>
      <c r="H10">
        <v>8496</v>
      </c>
      <c r="I10" s="13">
        <v>4033</v>
      </c>
      <c r="J10">
        <v>8648</v>
      </c>
      <c r="K10">
        <v>3347</v>
      </c>
      <c r="L10">
        <v>3347</v>
      </c>
      <c r="M10">
        <v>16.2</v>
      </c>
      <c r="N10" s="13">
        <v>122.4</v>
      </c>
      <c r="O10" s="13">
        <v>59.1</v>
      </c>
      <c r="P10" s="13">
        <v>226</v>
      </c>
      <c r="Q10" s="13">
        <v>4283</v>
      </c>
      <c r="R10" s="13">
        <v>4315</v>
      </c>
      <c r="S10" s="13">
        <v>9.5</v>
      </c>
      <c r="T10" s="15">
        <v>47.97</v>
      </c>
      <c r="U10" s="15">
        <f>T10/11.97</f>
        <v>4.007518796992481</v>
      </c>
      <c r="V10" s="4">
        <f t="shared" si="0"/>
        <v>7221.6</v>
      </c>
      <c r="W10" s="19">
        <v>283876.28000000003</v>
      </c>
      <c r="X10" s="5">
        <v>10.5</v>
      </c>
    </row>
    <row r="11" spans="1:24" x14ac:dyDescent="0.3">
      <c r="A11" s="11">
        <v>46295</v>
      </c>
      <c r="B11" s="11">
        <v>46295</v>
      </c>
      <c r="C11">
        <v>2.8</v>
      </c>
      <c r="D11" t="s">
        <v>74</v>
      </c>
      <c r="E11">
        <v>1989</v>
      </c>
      <c r="F11">
        <v>2957</v>
      </c>
      <c r="G11">
        <v>7265</v>
      </c>
      <c r="H11">
        <v>7716</v>
      </c>
      <c r="I11" s="13">
        <v>3915</v>
      </c>
      <c r="J11">
        <v>7875</v>
      </c>
      <c r="K11">
        <v>2669</v>
      </c>
      <c r="L11">
        <v>2669</v>
      </c>
      <c r="M11">
        <v>18</v>
      </c>
      <c r="N11" s="13">
        <v>168</v>
      </c>
      <c r="O11" s="13">
        <v>88</v>
      </c>
      <c r="P11" s="13">
        <v>265</v>
      </c>
      <c r="Q11" s="13">
        <v>4198</v>
      </c>
      <c r="R11" s="13">
        <v>4313</v>
      </c>
      <c r="S11" s="13">
        <v>6.7</v>
      </c>
      <c r="T11" s="15">
        <v>45.56</v>
      </c>
      <c r="U11" s="15">
        <f>T11/12.916</f>
        <v>3.5274078662124499</v>
      </c>
      <c r="V11" s="4">
        <f t="shared" si="0"/>
        <v>9912</v>
      </c>
      <c r="W11" s="19">
        <v>395407.12</v>
      </c>
      <c r="X11" s="5">
        <v>17.5</v>
      </c>
    </row>
    <row r="12" spans="1:24" x14ac:dyDescent="0.3">
      <c r="A12" s="11">
        <v>46297</v>
      </c>
      <c r="B12" s="11">
        <v>46297</v>
      </c>
      <c r="C12">
        <v>8.1999999999999993</v>
      </c>
      <c r="D12" t="s">
        <v>74</v>
      </c>
      <c r="E12">
        <v>1967</v>
      </c>
      <c r="F12">
        <v>3008</v>
      </c>
      <c r="G12">
        <v>7091</v>
      </c>
      <c r="H12">
        <v>7657</v>
      </c>
      <c r="I12" s="13">
        <v>3898</v>
      </c>
      <c r="J12">
        <v>7807</v>
      </c>
      <c r="K12">
        <v>2497</v>
      </c>
      <c r="L12">
        <v>2497</v>
      </c>
      <c r="M12">
        <v>14.3</v>
      </c>
      <c r="N12" s="13">
        <v>168.8</v>
      </c>
      <c r="O12" s="13">
        <v>92.6</v>
      </c>
      <c r="P12" s="13">
        <v>276</v>
      </c>
      <c r="Q12" s="13">
        <v>4193</v>
      </c>
      <c r="R12" s="13">
        <v>4271</v>
      </c>
      <c r="S12" s="13">
        <v>6.4</v>
      </c>
      <c r="T12" s="15">
        <v>43.64</v>
      </c>
      <c r="U12" s="15">
        <f>T12/12.873</f>
        <v>3.3900411714441079</v>
      </c>
      <c r="V12" s="4">
        <f t="shared" si="0"/>
        <v>9959.2000000000007</v>
      </c>
      <c r="W12" s="19">
        <v>396926.83</v>
      </c>
      <c r="X12" s="5">
        <v>20</v>
      </c>
    </row>
    <row r="13" spans="1:24" x14ac:dyDescent="0.3">
      <c r="A13" s="11">
        <v>46298</v>
      </c>
      <c r="B13" s="11">
        <v>46298</v>
      </c>
      <c r="C13">
        <v>9</v>
      </c>
      <c r="D13" t="s">
        <v>74</v>
      </c>
      <c r="E13">
        <v>1742</v>
      </c>
      <c r="F13">
        <v>2803</v>
      </c>
      <c r="G13">
        <v>6753</v>
      </c>
      <c r="H13">
        <v>7737</v>
      </c>
      <c r="I13" s="14">
        <v>3858.58</v>
      </c>
      <c r="J13">
        <v>7887</v>
      </c>
      <c r="K13">
        <v>2049</v>
      </c>
      <c r="L13">
        <v>2049</v>
      </c>
      <c r="M13">
        <v>16</v>
      </c>
      <c r="N13" s="9">
        <v>167.8</v>
      </c>
      <c r="O13" s="9">
        <v>92.5</v>
      </c>
      <c r="P13" s="9">
        <v>294.45999999999998</v>
      </c>
      <c r="Q13" s="9">
        <v>4173</v>
      </c>
      <c r="R13" s="14">
        <v>4529.2</v>
      </c>
      <c r="S13" s="16">
        <v>6.35</v>
      </c>
      <c r="T13" s="16">
        <v>41.89</v>
      </c>
      <c r="U13" s="16">
        <f>T13/13.2</f>
        <v>3.1734848484848488</v>
      </c>
      <c r="V13" s="4">
        <f t="shared" si="0"/>
        <v>9900.2000000000007</v>
      </c>
      <c r="W13" s="14">
        <v>381910.84</v>
      </c>
      <c r="X13" s="5">
        <v>22.4</v>
      </c>
    </row>
    <row r="20" spans="6:18" x14ac:dyDescent="0.3">
      <c r="F20" s="9"/>
      <c r="G20" s="9"/>
      <c r="H20" s="10"/>
      <c r="I20" s="11"/>
      <c r="J20" s="11"/>
      <c r="K20" s="11"/>
      <c r="L20" s="12"/>
      <c r="M20" s="11"/>
      <c r="N20" s="11"/>
      <c r="O20" s="11"/>
      <c r="P20" s="11"/>
      <c r="Q20" s="11"/>
      <c r="R20" s="11"/>
    </row>
    <row r="21" spans="6:18" x14ac:dyDescent="0.3">
      <c r="F21" s="9"/>
      <c r="G21" s="9"/>
      <c r="H21" s="9"/>
      <c r="I21" s="13"/>
      <c r="J21" s="13"/>
      <c r="K21" s="13"/>
      <c r="L21" s="13"/>
      <c r="M21" s="13"/>
      <c r="N21" s="13"/>
      <c r="O21" s="13"/>
      <c r="P21" s="13"/>
      <c r="Q21" s="13"/>
      <c r="R21" s="9"/>
    </row>
    <row r="22" spans="6:18" x14ac:dyDescent="0.3">
      <c r="F22" s="9"/>
      <c r="G22" s="9"/>
      <c r="H22" s="9"/>
      <c r="I22" s="13"/>
      <c r="J22" s="13"/>
      <c r="K22" s="13"/>
      <c r="L22" s="13"/>
      <c r="M22" s="13"/>
      <c r="N22" s="13"/>
      <c r="O22" s="13"/>
      <c r="P22" s="13"/>
      <c r="Q22" s="13"/>
      <c r="R22" s="9"/>
    </row>
    <row r="23" spans="6:18" x14ac:dyDescent="0.3">
      <c r="F23" s="9"/>
      <c r="G23" s="9"/>
      <c r="H23" s="9"/>
      <c r="I23" s="13"/>
      <c r="J23" s="13"/>
      <c r="K23" s="13"/>
      <c r="L23" s="13"/>
      <c r="M23" s="13"/>
      <c r="N23" s="13"/>
      <c r="O23" s="13"/>
      <c r="P23" s="13"/>
      <c r="Q23" s="13"/>
      <c r="R23" s="9"/>
    </row>
    <row r="24" spans="6:18" x14ac:dyDescent="0.3">
      <c r="F24" s="9"/>
      <c r="G24" s="9"/>
      <c r="H24" s="9"/>
      <c r="I24" s="13"/>
      <c r="J24" s="13"/>
      <c r="K24" s="13"/>
      <c r="L24" s="13"/>
      <c r="M24" s="13"/>
      <c r="N24" s="13"/>
      <c r="O24" s="13"/>
      <c r="P24" s="13"/>
      <c r="Q24" s="13"/>
      <c r="R24" s="14"/>
    </row>
    <row r="25" spans="6:18" x14ac:dyDescent="0.3">
      <c r="F25" s="9"/>
      <c r="G25" s="9"/>
      <c r="H25" s="9"/>
      <c r="I25" s="13"/>
      <c r="J25" s="13"/>
      <c r="K25" s="13"/>
      <c r="L25" s="13"/>
      <c r="M25" s="13"/>
      <c r="N25" s="13"/>
      <c r="O25" s="13"/>
      <c r="P25" s="13"/>
      <c r="Q25" s="13"/>
      <c r="R25" s="9"/>
    </row>
    <row r="26" spans="6:18" x14ac:dyDescent="0.3">
      <c r="F26" s="9"/>
      <c r="G26" s="9"/>
      <c r="H26" s="9"/>
      <c r="I26" s="13"/>
      <c r="J26" s="13"/>
      <c r="K26" s="13"/>
      <c r="L26" s="15"/>
      <c r="M26" s="15"/>
      <c r="N26" s="15"/>
      <c r="O26" s="15"/>
      <c r="P26" s="15"/>
      <c r="Q26" s="15"/>
      <c r="R26" s="16"/>
    </row>
    <row r="27" spans="6:18" x14ac:dyDescent="0.3">
      <c r="F27" s="9"/>
      <c r="G27" s="9"/>
      <c r="H27" s="9"/>
      <c r="I27" s="13"/>
      <c r="J27" s="13"/>
      <c r="K27" s="13"/>
      <c r="L27" s="13"/>
      <c r="M27" s="13"/>
      <c r="N27" s="13"/>
      <c r="O27" s="13"/>
      <c r="P27" s="13"/>
      <c r="Q27" s="13"/>
      <c r="R27" s="16"/>
    </row>
    <row r="28" spans="6:18" x14ac:dyDescent="0.3">
      <c r="F28" s="9"/>
      <c r="G28" s="9"/>
      <c r="H28" s="9"/>
      <c r="I28" s="13"/>
      <c r="J28" s="13"/>
      <c r="K28" s="13"/>
      <c r="L28" s="13"/>
      <c r="M28" s="13"/>
      <c r="N28" s="13"/>
      <c r="O28" s="13"/>
      <c r="P28" s="13"/>
      <c r="Q28" s="13"/>
      <c r="R28" s="14"/>
    </row>
    <row r="29" spans="6:18" x14ac:dyDescent="0.3">
      <c r="F29" s="9"/>
      <c r="G29" s="9"/>
      <c r="H29" s="17"/>
      <c r="I29" s="18"/>
      <c r="J29" s="18"/>
      <c r="K29" s="18"/>
      <c r="L29" s="19"/>
      <c r="M29" s="19"/>
      <c r="N29" s="19"/>
      <c r="O29" s="19"/>
      <c r="P29" s="19"/>
      <c r="Q29" s="19"/>
      <c r="R29" s="14"/>
    </row>
    <row r="30" spans="6:18" x14ac:dyDescent="0.3">
      <c r="F30" s="9"/>
      <c r="G30" s="9"/>
      <c r="H30" s="9"/>
      <c r="I30" s="13"/>
      <c r="J30" s="13"/>
      <c r="K30" s="13"/>
      <c r="L30" s="15"/>
      <c r="M30" s="15"/>
      <c r="N30" s="15"/>
      <c r="O30" s="15"/>
      <c r="P30" s="15"/>
      <c r="Q30" s="15"/>
      <c r="R3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 History</vt:lpstr>
      <vt:lpstr>Volume tracking</vt:lpstr>
      <vt:lpstr>PTA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ElTaleb</cp:lastModifiedBy>
  <dcterms:created xsi:type="dcterms:W3CDTF">2026-10-21T01:08:01Z</dcterms:created>
  <dcterms:modified xsi:type="dcterms:W3CDTF">2026-10-21T02:15:05Z</dcterms:modified>
</cp:coreProperties>
</file>