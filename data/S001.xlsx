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odsi2005-my.sharepoint.com/personal/ibrahim_eltaleb_odsi-energy_com/Documents/ODSI_Desktop/Python/Stramlit/Dash_ODSI/data/"/>
    </mc:Choice>
  </mc:AlternateContent>
  <xr:revisionPtr revIDLastSave="31" documentId="8_{6132AEC3-1CAB-4FBA-A026-50CE20EF1FF7}" xr6:coauthVersionLast="47" xr6:coauthVersionMax="47" xr10:uidLastSave="{15C0DBDB-D79B-447D-80FF-A4CA545AAB37}"/>
  <bookViews>
    <workbookView xWindow="2616" yWindow="2616" windowWidth="23040" windowHeight="13608" xr2:uid="{92B28833-6805-4A4F-8867-695E222A4EA9}"/>
  </bookViews>
  <sheets>
    <sheet name="EW A5 May 29-July 2026 1-min ex" sheetId="1" r:id="rId1"/>
    <sheet name="PTA" sheetId="4" r:id="rId2"/>
    <sheet name="Track Volume"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#REF!</definedName>
    <definedName name="_qty1">'[1]DR Log'!$J:$J</definedName>
    <definedName name="_qty10">'[1]DR Log'!$BL:$BL</definedName>
    <definedName name="_qty2">'[1]DR Log'!$P:$P</definedName>
    <definedName name="_qty3">'[1]DR Log'!$V:$V</definedName>
    <definedName name="_qty4">'[1]DR Log'!$AB:$AB</definedName>
    <definedName name="_qty5">'[1]DR Log'!$AH:$AH</definedName>
    <definedName name="_qty6">'[1]DR Log'!$AN:$AN</definedName>
    <definedName name="_qty7">'[1]DR Log'!$AT:$AT</definedName>
    <definedName name="_qty8">'[1]DR Log'!$AZ:$AZ</definedName>
    <definedName name="_qty9">'[1]DR Log'!$BF:$BF</definedName>
    <definedName name="_sd1">#REF!</definedName>
    <definedName name="_sd10">#REF!</definedName>
    <definedName name="_sd11">#REF!</definedName>
    <definedName name="_sd12">#REF!</definedName>
    <definedName name="_sd13">#REF!</definedName>
    <definedName name="_sd14">#REF!</definedName>
    <definedName name="_sd2">#REF!</definedName>
    <definedName name="_sd3">#REF!</definedName>
    <definedName name="_sd4">#REF!</definedName>
    <definedName name="_sd5">#REF!</definedName>
    <definedName name="_sd6">#REF!</definedName>
    <definedName name="_sd7">#REF!</definedName>
    <definedName name="_sd8">#REF!</definedName>
    <definedName name="_sd9">#REF!</definedName>
    <definedName name="_st1">#REF!</definedName>
    <definedName name="_st2">#REF!</definedName>
    <definedName name="_st3">#REF!</definedName>
    <definedName name="_st4">#REF!</definedName>
    <definedName name="_Var1">96</definedName>
    <definedName name="A">#REF!</definedName>
    <definedName name="aeg">'[2]BPR LOG'!$BI:$BI</definedName>
    <definedName name="AFE">#REF!</definedName>
    <definedName name="arrivedate1">'[1]DR Log'!$N:$N</definedName>
    <definedName name="arrivedate10">'[1]DR Log'!$BP:$BP</definedName>
    <definedName name="arrivedate2">'[1]DR Log'!$T:$T</definedName>
    <definedName name="arrivedate3">'[1]DR Log'!$Z:$Z</definedName>
    <definedName name="arrivedate4">'[1]DR Log'!$AF:$AF</definedName>
    <definedName name="arrivedate5">'[1]DR Log'!$AL:$AL</definedName>
    <definedName name="arrivedate6">'[1]DR Log'!$AR:$AR</definedName>
    <definedName name="arrivedate7">'[1]DR Log'!$AX:$AX</definedName>
    <definedName name="arrivedate8">'[1]DR Log'!$BD:$BD</definedName>
    <definedName name="arrivedate9">'[1]DR Log'!$BJ:$BJ</definedName>
    <definedName name="Autofill">#REF!</definedName>
    <definedName name="bakerlock">#REF!</definedName>
    <definedName name="ballseatid">#REF!</definedName>
    <definedName name="ballseatshear">#REF!</definedName>
    <definedName name="ballsize">#REF!</definedName>
    <definedName name="BHPs">[3]RIH_Grad!$E$21:$E$142</definedName>
    <definedName name="bht">'[2]BPR LOG'!$AG:$AG</definedName>
    <definedName name="BHTs">[3]RIH_Grad!$F$21:$F$142</definedName>
    <definedName name="billto">'[1]DR Log'!$H:$H</definedName>
    <definedName name="block">[4]Info!$B$9</definedName>
    <definedName name="BLock_TD_Wt">'[5]Liner Job Info'!$D$33</definedName>
    <definedName name="bprclosedby">'[2]BPR LOG'!$BK:$BK</definedName>
    <definedName name="BPRdirectedto">'[6]BPR LOG'!$BQ:$BQ</definedName>
    <definedName name="BPRNo">#REF!</definedName>
    <definedName name="BSIR">#REF!</definedName>
    <definedName name="bsirt1">#REF!</definedName>
    <definedName name="bsirt2">#REF!</definedName>
    <definedName name="bsirt3">#REF!</definedName>
    <definedName name="bsirt4">#REF!</definedName>
    <definedName name="bsirt5">#REF!</definedName>
    <definedName name="bsirt6">#REF!</definedName>
    <definedName name="bsirtnotes">#REF!</definedName>
    <definedName name="Buoy_Factor">'[5]Liner Job Info'!$D$32</definedName>
    <definedName name="caby">'[2]BPR LOG'!$BB:$BB</definedName>
    <definedName name="cadate">'[2]BPR LOG'!$BC:$BC</definedName>
    <definedName name="CasingDrift">#REF!</definedName>
    <definedName name="CasingDriftList">VLOOKUP(CasingWgt,OFFSET(INDIRECT(ADDRESS(MATCH(CasingOD,objects,0)+1,3,,,"Casing")),0,0,COUNTIF(objects,CasingOD),3),3)</definedName>
    <definedName name="CasingGrade">#REF!</definedName>
    <definedName name="casingID">#REF!</definedName>
    <definedName name="CasingIDList">VLOOKUP(CasingWgt,OFFSET(INDIRECT(ADDRESS(MATCH(CasingOD,objects,0)+1,2,,,"Casing")),0,1,COUNTIF(objects,CasingOD),2),2)</definedName>
    <definedName name="CasingList">OFFSET(INDIRECT(ADDRESS(MATCH(CasingOD,objects,0)+1,2,,,"Casing")),0,1,COUNTIF(objects,CasingOD),1)</definedName>
    <definedName name="CasingOD">#REF!</definedName>
    <definedName name="CasingWgt">#REF!</definedName>
    <definedName name="causecat">'[2]BPR LOG'!$AT:$AT</definedName>
    <definedName name="CAUSECODE">'[2]BPR LOG'!$AS:$AS</definedName>
    <definedName name="causedept">'[2]BPR LOG'!$B:$B</definedName>
    <definedName name="causedesc1">'[2]BPR LOG'!$AU:$AU</definedName>
    <definedName name="causedesc2">'[2]BPR LOG'!$AV:$AV</definedName>
    <definedName name="causedesc3">'[2]BPR LOG'!$AW:$AW</definedName>
    <definedName name="causedesc4">'[6]BPR LOG'!$AZ:$AZ</definedName>
    <definedName name="causedesc5">'[6]BPR LOG'!$BA:$BA</definedName>
    <definedName name="causedesc6">'[6]BPR LOG'!$BB:$BB</definedName>
    <definedName name="causeenter">'[2]BPR LOG'!$AX:$AX</definedName>
    <definedName name="causeentrydate">'[2]BPR LOG'!$AY:$AY</definedName>
    <definedName name="cementconn">#REF!</definedName>
    <definedName name="Cf">#REF!</definedName>
    <definedName name="cfax">#REF!</definedName>
    <definedName name="Choke_S">'[3]Input_Survey-Data'!$V$8:$V$34</definedName>
    <definedName name="closedoropen">'[7]CADE SUMMARY'!#REF!</definedName>
    <definedName name="comm1">'[1]DR Log'!$K:$K</definedName>
    <definedName name="comm10">'[1]DR Log'!$BM:$BM</definedName>
    <definedName name="comm11">#REF!</definedName>
    <definedName name="comm12">#REF!</definedName>
    <definedName name="comm13">#REF!</definedName>
    <definedName name="comm14">#REF!</definedName>
    <definedName name="comm2">'[1]DR Log'!$Q:$Q</definedName>
    <definedName name="comm3">'[1]DR Log'!$W:$W</definedName>
    <definedName name="comm4">'[1]DR Log'!$AC:$AC</definedName>
    <definedName name="comm5">'[1]DR Log'!$AI:$AI</definedName>
    <definedName name="comm6">'[1]DR Log'!$AO:$AO</definedName>
    <definedName name="comm7">'[1]DR Log'!$AU:$AU</definedName>
    <definedName name="comm8">'[1]DR Log'!$BA:$BA</definedName>
    <definedName name="comm9">'[1]DR Log'!$BG:$BG</definedName>
    <definedName name="commno">'[2]BPR LOG'!$M:$M</definedName>
    <definedName name="CompanyMan">'[8]Liner Job Info'!$E$7</definedName>
    <definedName name="CompanyName">'[8]Liner Job Info'!$E$4</definedName>
    <definedName name="companyrep1">#REF!</definedName>
    <definedName name="CompanyRep2">#REF!</definedName>
    <definedName name="Connections">#REF!</definedName>
    <definedName name="Coordinator">#REF!</definedName>
    <definedName name="corep">'[2]BPR LOG'!$S:$S</definedName>
    <definedName name="corraction1">'[2]BPR LOG'!$AZ:$AZ</definedName>
    <definedName name="corraction2">'[2]BPR LOG'!$BA:$BA</definedName>
    <definedName name="corraction3">'[6]BPR LOG'!$BG:$BG</definedName>
    <definedName name="corraction4">'[6]BPR LOG'!$BH:$BH</definedName>
    <definedName name="corraction5">'[7]BPR LOG'!$BL:$BL</definedName>
    <definedName name="cost">'[2]BPR LOG'!$AP:$AP</definedName>
    <definedName name="county">#REF!</definedName>
    <definedName name="cphone">#REF!</definedName>
    <definedName name="credit">'[2]BPR LOG'!$AR:$AR</definedName>
    <definedName name="crep">#REF!</definedName>
    <definedName name="CSG_DPTH">'[8]Metric Conversions'!$B$15</definedName>
    <definedName name="CSG_Grd">'[8]Liner Job Info'!$D$14</definedName>
    <definedName name="CSG_OD">'[8]Liner Job Info'!$A$14</definedName>
    <definedName name="CSG_Thread">'[8]Liner Job Info'!$E$14</definedName>
    <definedName name="Csg_Wt">'[8]Liner Job Info'!$C$14</definedName>
    <definedName name="csgdepth">'[2]BPR LOG'!$AB:$AB</definedName>
    <definedName name="csggrade">[9]Info!$B$17</definedName>
    <definedName name="csgscraped">'[2]BPR LOG'!$AH:$AH</definedName>
    <definedName name="csgsize">'[2]BPR LOG'!$X:$X</definedName>
    <definedName name="csgwt">'[2]BPR LOG'!$Y:$Y</definedName>
    <definedName name="cust">[4]Info!$B$4</definedName>
    <definedName name="customer">#REF!</definedName>
    <definedName name="customernumberlist">[10]CUSTOMERS!#REF!</definedName>
    <definedName name="Cw">#REF!</definedName>
    <definedName name="Data_Type">'[3]Input_Survey-Data'!$W$19:$W$23</definedName>
    <definedName name="date">#REF!</definedName>
    <definedName name="dateclosed">'[2]BPR LOG'!$BL:$BL</definedName>
    <definedName name="datedue1">'[1]DR Log'!$O:$O</definedName>
    <definedName name="datedue10">'[1]DR Log'!$BQ:$BQ</definedName>
    <definedName name="datedue2">'[1]DR Log'!$U:$U</definedName>
    <definedName name="datedue3">'[1]DR Log'!$AA:$AA</definedName>
    <definedName name="datedue4">'[1]DR Log'!$AG:$AG</definedName>
    <definedName name="datedue5">'[1]DR Log'!$AM:$AM</definedName>
    <definedName name="datedue6">'[1]DR Log'!$AS:$AS</definedName>
    <definedName name="datedue7">'[1]DR Log'!$AY:$AY</definedName>
    <definedName name="datedue8">'[1]DR Log'!$BE:$BE</definedName>
    <definedName name="datedue9">'[1]DR Log'!$BK:$BK</definedName>
    <definedName name="dateordered">'[1]DR Log'!$E:$E</definedName>
    <definedName name="desc1">'[1]DR Log'!$L:$L</definedName>
    <definedName name="desc10">'[1]DR Log'!$BN:$BN</definedName>
    <definedName name="desc2">'[1]DR Log'!$R:$R</definedName>
    <definedName name="desc3">'[1]DR Log'!$X:$X</definedName>
    <definedName name="desc4">'[1]DR Log'!$AD:$AD</definedName>
    <definedName name="desc5">'[1]DR Log'!$AJ:$AJ</definedName>
    <definedName name="desc6">'[1]DR Log'!$AP:$AP</definedName>
    <definedName name="desc7">'[1]DR Log'!$AV:$AV</definedName>
    <definedName name="desc8">'[1]DR Log'!$BB:$BB</definedName>
    <definedName name="desc9">'[1]DR Log'!$BH:$BH</definedName>
    <definedName name="details1">#REF!</definedName>
    <definedName name="details10">#REF!</definedName>
    <definedName name="details11">#REF!</definedName>
    <definedName name="details12">#REF!</definedName>
    <definedName name="details13">#REF!</definedName>
    <definedName name="details14">#REF!</definedName>
    <definedName name="details2">#REF!</definedName>
    <definedName name="details3">#REF!</definedName>
    <definedName name="details4">#REF!</definedName>
    <definedName name="details5">#REF!</definedName>
    <definedName name="details6">#REF!</definedName>
    <definedName name="details7">#REF!</definedName>
    <definedName name="details8">#REF!</definedName>
    <definedName name="details9">#REF!</definedName>
    <definedName name="disc">'[2]BPR LOG'!$AQ:$AQ</definedName>
    <definedName name="district">#REF!</definedName>
    <definedName name="Doc_Rev">'[5]Liner Job Info'!$A$2</definedName>
    <definedName name="DockContact">#REF!</definedName>
    <definedName name="DockPhone">#REF!</definedName>
    <definedName name="dogsub">#REF!</definedName>
    <definedName name="DP1_conn">'[8]Liner Job Info'!$J$22</definedName>
    <definedName name="DP1_Grd">'[8]Liner Job Info'!$F$22</definedName>
    <definedName name="DP1_Leng">'[8]Metric Conversions'!$B$20</definedName>
    <definedName name="DP1_OD">'[8]Liner Job Info'!$C$22</definedName>
    <definedName name="DP1_Wt_Per_Ft">'[8]Liner Job Info'!$D$22</definedName>
    <definedName name="DP2_conn">'[8]Liner Job Info'!$J$23</definedName>
    <definedName name="DP2_Grd">'[8]Liner Job Info'!$F$23</definedName>
    <definedName name="DP2_Leng">'[8]Metric Conversions'!$B$21</definedName>
    <definedName name="DP2_OD">'[8]Liner Job Info'!$C$23</definedName>
    <definedName name="DP2_Wt_Per_Ft">'[8]Liner Job Info'!$D$23</definedName>
    <definedName name="DP3_COnn">'[8]Liner Job Info'!$J$24</definedName>
    <definedName name="DP3_Grd">'[8]Liner Job Info'!$F$24</definedName>
    <definedName name="DP3_Leng">'[8]Metric Conversions'!$B$22</definedName>
    <definedName name="DP3_OD">'[8]Liner Job Info'!$C$24</definedName>
    <definedName name="DP3_Wt_Per_Ft">'[8]Liner Job Info'!$D$24</definedName>
    <definedName name="DP4_COnn">'[8]Liner Job Info'!$J$25</definedName>
    <definedName name="DP4_Grd">'[8]Liner Job Info'!$F$25</definedName>
    <definedName name="DP4_Leng">'[8]Metric Conversions'!$B$23</definedName>
    <definedName name="DP4_OD">'[8]Liner Job Info'!$C$25</definedName>
    <definedName name="DP4_Wt_Per_Ft">'[8]Liner Job Info'!$D$25</definedName>
    <definedName name="DP5_COnn">'[8]Liner Job Info'!$J$26</definedName>
    <definedName name="DP5_Grd">'[8]Liner Job Info'!$F$26</definedName>
    <definedName name="DP5_Leng">'[8]Metric Conversions'!$B$24</definedName>
    <definedName name="DP5_OD">'[8]Liner Job Info'!$C$26</definedName>
    <definedName name="DP5_Wt_Per_Ft">'[8]Liner Job Info'!$D$26</definedName>
    <definedName name="dpgrade">[9]Info!$D$20</definedName>
    <definedName name="dpsize">[9]Info!$B$20</definedName>
    <definedName name="dpwt">[9]Info!$B$21</definedName>
    <definedName name="drno">'[7]BPR LOG'!$P:$P</definedName>
    <definedName name="Elevators">#REF!</definedName>
    <definedName name="field">#REF!</definedName>
    <definedName name="Field\">#REF!</definedName>
    <definedName name="fluidlevel">'[2]BPR LOG'!$AF:$AF</definedName>
    <definedName name="Grade">#REF!</definedName>
    <definedName name="Gradient_Survey_Type">'[3]Input_Survey-Data'!$W$13:$W$16</definedName>
    <definedName name="Gradients">[3]RIH_Grad!$G$21:$G$142</definedName>
    <definedName name="Hanger_Type">#REF!</definedName>
    <definedName name="hanger1">#REF!</definedName>
    <definedName name="HydrocarbonType">[11]Saleables!#REF!</definedName>
    <definedName name="IdAll">[12]Data!$B$69:$B$457</definedName>
    <definedName name="Job_Masters">#REF!</definedName>
    <definedName name="Job_Name">'[8]Liner Job Info'!$E$5</definedName>
    <definedName name="JobDate">'[8]Liner Job Info'!$O$11</definedName>
    <definedName name="LandingCollar_Type">#REF!</definedName>
    <definedName name="landingcollar5">#REF!</definedName>
    <definedName name="lease">#REF!</definedName>
    <definedName name="liftpup">#REF!</definedName>
    <definedName name="Liner1_Length">'[8]Metric Conversions'!$B$17</definedName>
    <definedName name="Liner1_OD">'[8]Liner Job Info'!$C$17</definedName>
    <definedName name="Liner1_Thread">'[8]Liner Job Info'!$H$17</definedName>
    <definedName name="Liner1_Wt_Per_Ft">'[8]Liner Job Info'!$E$17</definedName>
    <definedName name="Liner2_Length">'[8]Metric Conversions'!$B$18</definedName>
    <definedName name="Liner2_OD">'[8]Liner Job Info'!$C$18</definedName>
    <definedName name="Liner2_Thread">'[8]Liner Job Info'!$H$18</definedName>
    <definedName name="Liner2_Wt_Per_FT">'[8]Liner Job Info'!$E$18</definedName>
    <definedName name="LinerConn">#REF!</definedName>
    <definedName name="LinerDrift">#REF!</definedName>
    <definedName name="LinerDriftList">VLOOKUP(LinerWgt,OFFSET(INDIRECT(ADDRESS(MATCH(LinerOD,objects,0)+1,3,,,"Casing")),0,0,COUNTIF(objects,LinerOD),3),3)</definedName>
    <definedName name="linergrade">[9]Info!$D$12</definedName>
    <definedName name="LinerID">#REF!</definedName>
    <definedName name="LinerIDList">VLOOKUP(LinerWgt,OFFSET(INDIRECT(ADDRESS(MATCH(LinerOD,objects,0)+1,2,,,"Casing")),0,1,COUNTIF(objects,LinerOD),2),2)</definedName>
    <definedName name="LinerList">OFFSET(INDIRECT(ADDRESS(MATCH(LinerOD,objects,0)+1,2,,,"Casing")),0,1,COUNTIF(objects,LinerOD),1)</definedName>
    <definedName name="LinerOD">#REF!</definedName>
    <definedName name="linersize">'[2]BPR LOG'!$Z:$Z</definedName>
    <definedName name="linersizeprejob">[13]Info!$B$11</definedName>
    <definedName name="linerthd">[9]Info!$B$12</definedName>
    <definedName name="LinerWgt">#REF!</definedName>
    <definedName name="linerwt">'[2]BPR LOG'!$AA:$AA</definedName>
    <definedName name="Lnr_Shoe_Depth">'[8]Metric Conversions'!$B$29</definedName>
    <definedName name="Lnr_Shoe_Depthz">'[5]Liner Job Info'!$R$19</definedName>
    <definedName name="Lnr1_Grade">'[8]Liner Job Info'!$F$17</definedName>
    <definedName name="Lnr2_Grade">'[8]Liner Job Info'!$F$18</definedName>
    <definedName name="location">'[2]BPR LOG'!$J:$J</definedName>
    <definedName name="maxdev">[9]Info!$B$25</definedName>
    <definedName name="Mud_Wt">'[8]Metric Conversions'!$B$66</definedName>
    <definedName name="mudcond">'[2]BPR LOG'!$AE:$AE</definedName>
    <definedName name="mudtype">'[4]Run Report'!$F$9</definedName>
    <definedName name="mudwt">'[2]BPR LOG'!$AD:$AD</definedName>
    <definedName name="Name">#REF!</definedName>
    <definedName name="No">'[14]BPR LOG'!$A:$A</definedName>
    <definedName name="objects">#REF!</definedName>
    <definedName name="ohsize">[9]Info!$B$18</definedName>
    <definedName name="operco">'[2]BPR LOG'!$R:$R</definedName>
    <definedName name="orderedby">'[1]DR Log'!$F:$F</definedName>
    <definedName name="origby">'[2]BPR LOG'!$I:$I</definedName>
    <definedName name="overlap">[9]Info!$D$13</definedName>
    <definedName name="P10_EUR">#REF!</definedName>
    <definedName name="P50_EUR">#REF!</definedName>
    <definedName name="P90_EUR">#REF!</definedName>
    <definedName name="paby">'[2]BPR LOG'!$BG:$BG</definedName>
    <definedName name="Packer_Type">#REF!</definedName>
    <definedName name="packofftype">#REF!</definedName>
    <definedName name="padate">'[2]BPR LOG'!$BH:$BH</definedName>
    <definedName name="palmix">#REF!</definedName>
    <definedName name="perf1">'[2]BPR LOG'!$AJ:$AJ</definedName>
    <definedName name="perf2">'[2]BPR LOG'!$AK:$AK</definedName>
    <definedName name="perf3">'[2]BPR LOG'!$AL:$AL</definedName>
    <definedName name="perf4">'[2]BPR LOG'!$AM:$AM</definedName>
    <definedName name="perf5">'[2]BPR LOG'!$AN:$AN</definedName>
    <definedName name="perf6">'[2]BPR LOG'!$AO:$AO</definedName>
    <definedName name="perf7">'[6]BPR LOG'!$AP:$AP</definedName>
    <definedName name="perf8">'[6]BPR LOG'!$AQ:$AQ</definedName>
    <definedName name="perf9">'[7]BPR LOG'!$AS:$AS</definedName>
    <definedName name="Phone">[15]General!$H$17</definedName>
    <definedName name="plabb">'[1]DR Log'!$C:$C</definedName>
    <definedName name="PLCode">'[2]BPR LOG'!$D:$D</definedName>
    <definedName name="Plug_Type">#REF!</definedName>
    <definedName name="prevaction">'[2]BPR LOG'!$BD:$BD</definedName>
    <definedName name="prevaction3">'[2]BPR LOG'!$BF:$BF</definedName>
    <definedName name="prevaction4">'[6]BPR LOG'!$BN:$BN</definedName>
    <definedName name="prevaction5">'[7]BPR LOG'!$BS:$BS</definedName>
    <definedName name="PrimaryApp">[11]Saleables!#REF!</definedName>
    <definedName name="prod1">'[1]DR Log'!$M:$M</definedName>
    <definedName name="prod10">'[1]DR Log'!$BO:$BO</definedName>
    <definedName name="prod2">'[1]DR Log'!$S:$S</definedName>
    <definedName name="prod3">'[1]DR Log'!$Y:$Y</definedName>
    <definedName name="prod4">'[1]DR Log'!$AE:$AE</definedName>
    <definedName name="prod5">'[1]DR Log'!$AK:$AK</definedName>
    <definedName name="prod6">'[1]DR Log'!$AQ:$AQ</definedName>
    <definedName name="prod7">'[1]DR Log'!$AW:$AW</definedName>
    <definedName name="prod8">'[1]DR Log'!$BC:$BC</definedName>
    <definedName name="prod9">'[1]DR Log'!$BI:$BI</definedName>
    <definedName name="proddesc">'[2]BPR LOG'!$O:$O</definedName>
    <definedName name="prodline">'[2]BPR LOG'!$E:$E</definedName>
    <definedName name="prodno">'[2]BPR LOG'!$L:$L</definedName>
    <definedName name="q">'[16]info page'!$C$19</definedName>
    <definedName name="qa">'[2]BPR LOG'!$BJ:$BJ</definedName>
    <definedName name="Quality">#REF!</definedName>
    <definedName name="rabbit">#REF!</definedName>
    <definedName name="Report_Type">'[3]Input_Survey-Data'!$W$26:$W$31</definedName>
    <definedName name="rig">#REF!</definedName>
    <definedName name="Rigphone">#REF!</definedName>
    <definedName name="RigPhone2">#REF!</definedName>
    <definedName name="RigType">#REF!</definedName>
    <definedName name="rundate">'[2]BPR LOG'!$AI:$AI</definedName>
    <definedName name="sales">'[6]BPR LOG'!$BS:$BS</definedName>
    <definedName name="Sales_Ticket_Number">'[17]Liner Job Info'!$E$11</definedName>
    <definedName name="salesman">#REF!</definedName>
    <definedName name="salesrep">[4]Info!$C$37</definedName>
    <definedName name="SecondaryApp">[11]Saleables!#REF!</definedName>
    <definedName name="serialno">'[2]BPR LOG'!$N:$N</definedName>
    <definedName name="setdepth">'[2]BPR LOG'!$AC:$AC</definedName>
    <definedName name="Setting_Tool_Type">#REF!</definedName>
    <definedName name="SettingMethod">[11]Saleables!#REF!</definedName>
    <definedName name="settingtoolconn">#REF!</definedName>
    <definedName name="shipto">'[1]DR Log'!$G:$G</definedName>
    <definedName name="ShopList">#REF!</definedName>
    <definedName name="Shops">#REF!</definedName>
    <definedName name="Slips">#REF!</definedName>
    <definedName name="So">#REF!</definedName>
    <definedName name="specialstabnotes">#REF!</definedName>
    <definedName name="specinst">'[1]DR Log'!$I:$I</definedName>
    <definedName name="specinst2">'[1]DR Log'!$J:$J</definedName>
    <definedName name="SSI">'[2]BPR LOG'!$G:$G</definedName>
    <definedName name="sst">'[13]Run Report'!$N$4</definedName>
    <definedName name="state">#REF!</definedName>
    <definedName name="Status">'[3]Input_Survey-Data'!$T$8:$T$11</definedName>
    <definedName name="stnotes">#REF!</definedName>
    <definedName name="summary">'[7]BPR LOG'!$F:$F</definedName>
    <definedName name="SVBallSeat">#REF!</definedName>
    <definedName name="SVBS">#REF!</definedName>
    <definedName name="SVEB">#REF!</definedName>
    <definedName name="SVEMPsi">#REF!</definedName>
    <definedName name="SVMaxPDP">#REF!</definedName>
    <definedName name="SVPB">#REF!</definedName>
    <definedName name="SVPBPsi">#REF!</definedName>
    <definedName name="SVPDPNose">#REF!</definedName>
    <definedName name="SVPDPPsi">#REF!</definedName>
    <definedName name="SVSeatID">#REF!</definedName>
    <definedName name="Sw">#REF!</definedName>
    <definedName name="TbgIdAll">[12]Data!$G$135:$G$230</definedName>
    <definedName name="TbgWtAll">[12]Data!$H$64:$H$183</definedName>
    <definedName name="td">[9]Info!$B$14</definedName>
    <definedName name="ticket">#REF!</definedName>
    <definedName name="tmno">'[2]BPR LOG'!$Q:$Q</definedName>
    <definedName name="tol">[13]Info!$F$17</definedName>
    <definedName name="tst">#REF!</definedName>
    <definedName name="TTST">'[17]Liner Job Info'!$O$5</definedName>
    <definedName name="TVDs">[3]RIH_Grad!$D$21:$D$142</definedName>
    <definedName name="vallist">#REF!</definedName>
    <definedName name="well">[4]Info!$D$9</definedName>
    <definedName name="WellDeviation">[11]Saleables!#REF!</definedName>
    <definedName name="wellname">#REF!</definedName>
    <definedName name="wellnameno">'[2]BPR LOG'!$T:$T</definedName>
    <definedName name="WellNo">#REF!</definedName>
    <definedName name="WellTD">'[17]Liner Job Info'!$M$19</definedName>
    <definedName name="WellType">[11]Saleables!#REF!</definedName>
    <definedName name="WorkstringSurface">#REF!</definedName>
    <definedName name="WorkstringTool">#REF!</definedName>
    <definedName name="wrn.VOLUME." hidden="1">{#N/A,#N/A,FALSE,"Volume"}</definedName>
    <definedName name="WtAll">[12]Data!$C$92:$C$347</definedName>
    <definedName name="xo1b">#REF!</definedName>
    <definedName name="xo1p">#REF!</definedName>
    <definedName name="xo2b">#REF!</definedName>
    <definedName name="xo2p">#REF!</definedName>
    <definedName name="xo3b">#REF!</definedName>
    <definedName name="xo3p">#REF!</definedName>
    <definedName name="xo4b">#REF!</definedName>
    <definedName name="xo4p">#REF!</definedName>
    <definedName name="xo5b">#REF!</definedName>
    <definedName name="xo5p">#REF!</definedName>
    <definedName name="xo6b">#REF!</definedName>
    <definedName name="xo6p">#REF!</definedName>
    <definedName name="Zero">'[3]Input_Survey-Data'!$U$8:$U$11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5" i="5" l="1"/>
  <c r="N6" i="5"/>
  <c r="N7" i="5"/>
  <c r="N8" i="5"/>
  <c r="N9" i="5"/>
  <c r="N10" i="5"/>
  <c r="N11" i="5"/>
  <c r="N12" i="5"/>
  <c r="N13" i="5"/>
  <c r="N14" i="5"/>
  <c r="N15" i="5"/>
  <c r="N16" i="5"/>
  <c r="N17" i="5"/>
  <c r="M6" i="5"/>
  <c r="M7" i="5"/>
  <c r="M8" i="5"/>
  <c r="M9" i="5"/>
  <c r="M10" i="5"/>
  <c r="M11" i="5"/>
  <c r="M12" i="5"/>
  <c r="M13" i="5"/>
  <c r="M14" i="5"/>
  <c r="M15" i="5"/>
  <c r="M16" i="5"/>
  <c r="M17" i="5"/>
  <c r="M5" i="5"/>
  <c r="L5" i="5"/>
  <c r="L6" i="5"/>
  <c r="L7" i="5"/>
  <c r="L8" i="5"/>
  <c r="L9" i="5"/>
  <c r="L10" i="5"/>
  <c r="L11" i="5"/>
  <c r="L12" i="5"/>
  <c r="L13" i="5"/>
  <c r="L14" i="5"/>
  <c r="L15" i="5"/>
  <c r="L16" i="5"/>
  <c r="L17" i="5"/>
</calcChain>
</file>

<file path=xl/sharedStrings.xml><?xml version="1.0" encoding="utf-8"?>
<sst xmlns="http://schemas.openxmlformats.org/spreadsheetml/2006/main" count="157" uniqueCount="100">
  <si>
    <t>DateTime</t>
  </si>
  <si>
    <t>WHP</t>
  </si>
  <si>
    <t>WHT</t>
  </si>
  <si>
    <t>DHGP</t>
  </si>
  <si>
    <t>DHGT</t>
  </si>
  <si>
    <t>DPwb</t>
  </si>
  <si>
    <t>aOutDatumP</t>
  </si>
  <si>
    <t>aOutQoil</t>
  </si>
  <si>
    <t>aOutQw</t>
  </si>
  <si>
    <t>aOutProdGOR</t>
  </si>
  <si>
    <t>aOutWaterCut</t>
  </si>
  <si>
    <t>aOutDailyGP</t>
  </si>
  <si>
    <t>aOutDailyNP</t>
  </si>
  <si>
    <t>aOutDailyWP</t>
  </si>
  <si>
    <t>aOutGP</t>
  </si>
  <si>
    <t>aOutNP</t>
  </si>
  <si>
    <t>aOutWP</t>
  </si>
  <si>
    <t>MM/dd/yyyy HH:mm:ss</t>
  </si>
  <si>
    <t>PSIA</t>
  </si>
  <si>
    <t>DEGF</t>
  </si>
  <si>
    <t>BBL/D</t>
  </si>
  <si>
    <t>scf/STB</t>
  </si>
  <si>
    <t>%</t>
  </si>
  <si>
    <t>MCF</t>
  </si>
  <si>
    <t>BBL</t>
  </si>
  <si>
    <t>BCF</t>
  </si>
  <si>
    <t>ddMMMyyyy HH:mm:ss</t>
  </si>
  <si>
    <t>HOURS</t>
  </si>
  <si>
    <t>STB/D</t>
  </si>
  <si>
    <t>md</t>
  </si>
  <si>
    <t>PSI</t>
  </si>
  <si>
    <t>PSI/(STB/D)</t>
  </si>
  <si>
    <t>md-ft/cp</t>
  </si>
  <si>
    <t>md-ft</t>
  </si>
  <si>
    <t>Start Time</t>
  </si>
  <si>
    <t xml:space="preserve"> End Time</t>
  </si>
  <si>
    <t xml:space="preserve"> Test Length</t>
  </si>
  <si>
    <t xml:space="preserve"> Type</t>
  </si>
  <si>
    <t xml:space="preserve"> WHPi</t>
  </si>
  <si>
    <t xml:space="preserve"> WHPf</t>
  </si>
  <si>
    <t xml:space="preserve"> DHGPi</t>
  </si>
  <si>
    <t>DHGPf</t>
  </si>
  <si>
    <t xml:space="preserve"> BHPi</t>
  </si>
  <si>
    <t xml:space="preserve"> BHPf</t>
  </si>
  <si>
    <t>Qoi</t>
  </si>
  <si>
    <t xml:space="preserve"> Qo</t>
  </si>
  <si>
    <t>Oil Perm</t>
  </si>
  <si>
    <t>Total Perm</t>
  </si>
  <si>
    <t>Total Skin</t>
  </si>
  <si>
    <t xml:space="preserve"> DP Total Skin</t>
  </si>
  <si>
    <t>P1HR</t>
  </si>
  <si>
    <t>PStar</t>
  </si>
  <si>
    <t xml:space="preserve"> Comp Eff</t>
  </si>
  <si>
    <t xml:space="preserve"> PI_Oil</t>
  </si>
  <si>
    <t xml:space="preserve"> DPs/Q</t>
  </si>
  <si>
    <t>PBU</t>
  </si>
  <si>
    <t>kh</t>
  </si>
  <si>
    <t>kh/mu</t>
  </si>
  <si>
    <t>STB/PSI</t>
  </si>
  <si>
    <t>Mobile</t>
  </si>
  <si>
    <t>Connected</t>
  </si>
  <si>
    <t>Expansion</t>
  </si>
  <si>
    <t>Displacement</t>
  </si>
  <si>
    <t>DP/DT</t>
  </si>
  <si>
    <t>TTA</t>
  </si>
  <si>
    <t xml:space="preserve">Start Date </t>
  </si>
  <si>
    <t>Dp/Dt Slope</t>
  </si>
  <si>
    <t>TTA Slope</t>
  </si>
  <si>
    <t xml:space="preserve">Q avg </t>
  </si>
  <si>
    <t>P. res/Pavg</t>
  </si>
  <si>
    <t>Co</t>
  </si>
  <si>
    <t xml:space="preserve">Ct </t>
  </si>
  <si>
    <t>Np</t>
  </si>
  <si>
    <t>TTA Vc</t>
  </si>
  <si>
    <t>TTA Sld</t>
  </si>
  <si>
    <t>Vc</t>
  </si>
  <si>
    <t>VSld</t>
  </si>
  <si>
    <t>#</t>
  </si>
  <si>
    <t>mm/dd/yy</t>
  </si>
  <si>
    <t>Psi/D</t>
  </si>
  <si>
    <t>Psi/(MMSTB/D)</t>
  </si>
  <si>
    <t>Psia</t>
  </si>
  <si>
    <t>Sips</t>
  </si>
  <si>
    <t>MMSTB</t>
  </si>
  <si>
    <t>S2</t>
  </si>
  <si>
    <t>N/A</t>
  </si>
  <si>
    <t>S3</t>
  </si>
  <si>
    <t>S5</t>
  </si>
  <si>
    <t>TTA4</t>
  </si>
  <si>
    <t>S6</t>
  </si>
  <si>
    <t>TTA7</t>
  </si>
  <si>
    <t>S7</t>
  </si>
  <si>
    <t>TTA8</t>
  </si>
  <si>
    <t>S8</t>
  </si>
  <si>
    <t>TTA9</t>
  </si>
  <si>
    <t>TTA1</t>
  </si>
  <si>
    <t>TTA2</t>
  </si>
  <si>
    <t>TTA3</t>
  </si>
  <si>
    <t>TTA5</t>
  </si>
  <si>
    <t>TTA6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</si>
</sst>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hh:mm:ss"/>
    <numFmt numFmtId="165" formatCode="0.000"/>
    <numFmt numFmtId="166" formatCode="mm/dd/yy;@"/>
    <numFmt numFmtId="167" formatCode="0.00000"/>
    <numFmt numFmtId="168" formatCode="0.000000"/>
  </numFmts>
  <fonts count="2" x14ac:knownFonts="1">
    <font>
      <sz val="11"/>
      <color theme="1"/>
      <name val="Calibri"/>
      <family val="2"/>
      <scheme val="minor"/>
    </font>
    <font>
      <b/>
      <sz val="12"/>
      <color theme="0"/>
      <name val="Times New Roman"/>
      <family val="1"/>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5" tint="0.79998168889431442"/>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164" fontId="0" fillId="0" borderId="0" xfId="0" applyNumberFormat="1"/>
    <xf numFmtId="22" fontId="0" fillId="0" borderId="0" xfId="0" applyNumberFormat="1"/>
    <xf numFmtId="0" fontId="1" fillId="2" borderId="1" xfId="0" applyFont="1" applyFill="1" applyBorder="1" applyProtection="1">
      <protection locked="0"/>
    </xf>
    <xf numFmtId="0" fontId="1" fillId="2" borderId="2" xfId="0" applyFont="1" applyFill="1" applyBorder="1" applyProtection="1">
      <protection locked="0"/>
    </xf>
    <xf numFmtId="0" fontId="1" fillId="2" borderId="2" xfId="0" applyFont="1" applyFill="1" applyBorder="1" applyAlignment="1" applyProtection="1">
      <alignment horizontal="center"/>
      <protection locked="0"/>
    </xf>
    <xf numFmtId="0" fontId="1" fillId="2" borderId="4" xfId="0" applyFont="1" applyFill="1" applyBorder="1" applyProtection="1">
      <protection locked="0"/>
    </xf>
    <xf numFmtId="0" fontId="1" fillId="2" borderId="3" xfId="0" applyFont="1" applyFill="1" applyBorder="1" applyProtection="1">
      <protection locked="0"/>
    </xf>
    <xf numFmtId="0" fontId="1" fillId="2" borderId="3" xfId="0" applyFont="1" applyFill="1" applyBorder="1" applyAlignment="1" applyProtection="1">
      <alignment horizontal="center"/>
      <protection locked="0"/>
    </xf>
    <xf numFmtId="22" fontId="0" fillId="3" borderId="3" xfId="0" applyNumberFormat="1" applyFill="1" applyBorder="1" applyAlignment="1">
      <alignment horizontal="center" vertical="center"/>
    </xf>
    <xf numFmtId="0" fontId="0" fillId="3" borderId="3" xfId="0" applyFill="1" applyBorder="1" applyAlignment="1">
      <alignment horizontal="center" vertical="center"/>
    </xf>
    <xf numFmtId="22" fontId="0" fillId="3" borderId="2" xfId="0" applyNumberFormat="1" applyFill="1" applyBorder="1" applyAlignment="1">
      <alignment horizontal="center" vertical="center"/>
    </xf>
    <xf numFmtId="0" fontId="0" fillId="3" borderId="2" xfId="0" applyFill="1" applyBorder="1" applyAlignment="1">
      <alignment horizontal="center" vertical="center"/>
    </xf>
    <xf numFmtId="22" fontId="0" fillId="4" borderId="2" xfId="0" applyNumberFormat="1" applyFill="1" applyBorder="1" applyAlignment="1">
      <alignment horizontal="center" vertical="center"/>
    </xf>
    <xf numFmtId="0" fontId="0" fillId="4" borderId="2" xfId="0" applyFill="1" applyBorder="1" applyAlignment="1">
      <alignment horizontal="center" vertical="center"/>
    </xf>
    <xf numFmtId="166" fontId="0" fillId="0" borderId="0" xfId="0" applyNumberFormat="1"/>
    <xf numFmtId="2" fontId="0" fillId="0" borderId="0" xfId="0" applyNumberFormat="1"/>
    <xf numFmtId="165" fontId="0" fillId="0" borderId="0" xfId="0" applyNumberFormat="1"/>
    <xf numFmtId="167" fontId="0" fillId="0" borderId="0" xfId="0" applyNumberFormat="1"/>
    <xf numFmtId="11" fontId="0" fillId="0" borderId="0" xfId="0" applyNumberFormat="1"/>
    <xf numFmtId="168" fontId="0" fillId="0" borderId="0" xfId="0" applyNumberFormat="1"/>
    <xf numFmtId="1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alcChain" Target="calcChain.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Rishma\LOGS\drlo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forms\1212-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Rueben%20Alaniz/Desktop/RLA_work/0_Well-Data/Flamco_211H/BHP/Flamco_211H_BHP-Report_11-25-2017_.xlsm" TargetMode="External"/><Relationship Id="rId1" Type="http://schemas.openxmlformats.org/officeDocument/2006/relationships/externalLinkPath" Target="/Users/Rueben%20Alaniz/Desktop/RLA_work/0_Well-Data/Flamco_211H/BHP/Flamco_211H_BHP-Report_11-25-2017_.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Liner%20Hanger%20workbook%20quote%20to%20closeout%206-15-9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nit%20Wells/Parker%20GU#5H/Liner &amp; Tie_Back Schematic/Copy of Schematic of liner run and tally.xls" TargetMode="External"/><Relationship Id="rId1" Type="http://schemas.openxmlformats.org/officeDocument/2006/relationships/externalLinkPath" Target="/Unit%20Wells/Parker%20GU#5H/Liner &amp; Tie_Back Schematic/Copy of Schematic of liner run and tall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1Rish\QA\BOT-QA\FORMS\1212-b.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Rishma\LOGS\BPR%20LOG\1212-B%20Liner%20Hang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ocuments%20and%20Settings\goodglea\Desktop\UNIT%20HANKAMER-TRAM%20%2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durmalbs\My%20Documents\Liner%20Reports\My%20Briefcase\Liner%20Hanger%20workbook%20quote%20to%20closeout%207-30-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wingwilr\My%20Documents\COMPLETED%20JOBS\UNIT\UNIT%20BP%20K%20%231%20PROD%20PKR%20&amp;%20ANCHOR.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Houma%20District%20Workbook%20Rev31"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bothoudoc01/unzipped/workbook2/Cased%20H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ocuments%20and%20Settings\durmalbs\My%20Documents\Liner%20Reports\Liner%20Hanger%20workbook%20quote%20to%20closeout%207-30-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bothoudoc01/1Rish/QA/BOT-QA/FORMS/1212-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Documents%20and%20Settings\wingwilr\My%20Documents\Beaumont%20District%20Workboo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bothoudoc01/My%20Documents/Work%20Authorization%20Form%207%202002.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Users/wingwilr/AppData/Local/Microsoft/Windows/Temporary%20Internet%20Files/Content.Outlook/NKU4TL90/UNIT%20PET%20HANKAMER%20TRAM%20#1 4 5in LINER AND TIEBACK.xlsx" TargetMode="External"/><Relationship Id="rId1" Type="http://schemas.openxmlformats.org/officeDocument/2006/relationships/externalLinkPath" Target="/Users/wingwilr/AppData/Local/Microsoft/Windows/Temporary%20Internet%20Files/Content.Outlook/NKU4TL90/UNIT%20PET%20HANKAMER%20TRAM%20#1 4 5in LINER AND TIEBA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R Log"/>
    </sheetNames>
    <sheetDataSet>
      <sheetData sheetId="0"/>
      <sheetData sheetId="1">
        <row r="1">
          <cell r="C1" t="str">
            <v>Prod Line addrev</v>
          </cell>
          <cell r="E1" t="str">
            <v xml:space="preserve">Date Ordered </v>
          </cell>
          <cell r="F1" t="str">
            <v>Ordered By</v>
          </cell>
          <cell r="G1" t="str">
            <v>Ship To</v>
          </cell>
          <cell r="H1" t="str">
            <v>Bill To</v>
          </cell>
          <cell r="I1" t="str">
            <v>Cust name / Special Instructions 1</v>
          </cell>
          <cell r="J1" t="str">
            <v>Cust name / Special Instructions 2</v>
          </cell>
          <cell r="K1" t="str">
            <v>Item 1 Qty</v>
          </cell>
          <cell r="L1" t="str">
            <v>Item 1 Comm #</v>
          </cell>
          <cell r="M1" t="str">
            <v>Item 1 Description</v>
          </cell>
          <cell r="N1" t="str">
            <v>Item 1 Prod #</v>
          </cell>
          <cell r="O1" t="str">
            <v>Item 1 Arrive date</v>
          </cell>
          <cell r="P1" t="str">
            <v>Item 1 date due</v>
          </cell>
          <cell r="Q1" t="str">
            <v>Item 2 Qty</v>
          </cell>
          <cell r="R1" t="str">
            <v>Item 2 Comm #</v>
          </cell>
          <cell r="S1" t="str">
            <v>Item 2 Description</v>
          </cell>
          <cell r="T1" t="str">
            <v>Item 2 Prod #</v>
          </cell>
          <cell r="U1" t="str">
            <v>Item 2 Arrive date</v>
          </cell>
          <cell r="V1" t="str">
            <v>Item 2 date due</v>
          </cell>
          <cell r="W1" t="str">
            <v>Item 3 Qty</v>
          </cell>
          <cell r="X1" t="str">
            <v>Item 3 Comm #</v>
          </cell>
          <cell r="Y1" t="str">
            <v>Item 3 Description</v>
          </cell>
          <cell r="Z1" t="str">
            <v>Item 3 Prod #</v>
          </cell>
          <cell r="AA1" t="str">
            <v>Item 3 Arrive date</v>
          </cell>
          <cell r="AB1" t="str">
            <v>Item 3 date due</v>
          </cell>
          <cell r="AC1" t="str">
            <v>Item 4 Qty</v>
          </cell>
          <cell r="AD1" t="str">
            <v>Item 4 Comm #</v>
          </cell>
          <cell r="AE1" t="str">
            <v>Item 4 Comm #</v>
          </cell>
          <cell r="AF1" t="str">
            <v>Item 4 Description</v>
          </cell>
          <cell r="AG1" t="str">
            <v>Item 4 Prod #</v>
          </cell>
          <cell r="AH1" t="str">
            <v>Item 4 Arrive date</v>
          </cell>
          <cell r="AI1" t="str">
            <v>Item 4 date due</v>
          </cell>
          <cell r="AJ1" t="str">
            <v>Item 5 Qty</v>
          </cell>
          <cell r="AK1" t="str">
            <v>Item 5 Comm #</v>
          </cell>
          <cell r="AL1" t="str">
            <v>Item 5 Description</v>
          </cell>
          <cell r="AM1" t="str">
            <v>Item 5 Prod #</v>
          </cell>
          <cell r="AN1" t="str">
            <v>Item 5 Arrive date</v>
          </cell>
          <cell r="AO1" t="str">
            <v>Item 5 date due</v>
          </cell>
          <cell r="AP1" t="str">
            <v>Item 6 Qty</v>
          </cell>
          <cell r="AQ1" t="str">
            <v>Item 6 Comm #</v>
          </cell>
          <cell r="AR1" t="str">
            <v>Item 6 Description</v>
          </cell>
          <cell r="AS1" t="str">
            <v>Item 6 Prod #</v>
          </cell>
          <cell r="AT1" t="str">
            <v>Item 6 Arrive date</v>
          </cell>
          <cell r="AU1" t="str">
            <v>Item 6 date due</v>
          </cell>
          <cell r="AV1" t="str">
            <v>Item 7 Qty</v>
          </cell>
          <cell r="AW1" t="str">
            <v>Item 7 Comm #</v>
          </cell>
          <cell r="AX1" t="str">
            <v>Item 7 Description</v>
          </cell>
          <cell r="AY1" t="str">
            <v>Item 7 Prod #</v>
          </cell>
          <cell r="AZ1" t="str">
            <v>Item 7 Arrive date</v>
          </cell>
          <cell r="BA1" t="str">
            <v>Item 7 date due</v>
          </cell>
          <cell r="BB1" t="str">
            <v>Item 8 Qty</v>
          </cell>
          <cell r="BC1" t="str">
            <v>Item 8 Comm #</v>
          </cell>
          <cell r="BD1" t="str">
            <v>Item 8 Description</v>
          </cell>
          <cell r="BE1" t="str">
            <v>Item 8 Prod #</v>
          </cell>
          <cell r="BF1" t="str">
            <v>Item 8 Arrive date</v>
          </cell>
          <cell r="BG1" t="str">
            <v>Item 8 date due</v>
          </cell>
          <cell r="BH1" t="str">
            <v>Item 9 Qty</v>
          </cell>
          <cell r="BI1" t="str">
            <v>Item 9 Comm #</v>
          </cell>
          <cell r="BJ1" t="str">
            <v>Item 9 Description</v>
          </cell>
          <cell r="BK1" t="str">
            <v>Item 9 Prod #</v>
          </cell>
          <cell r="BL1" t="str">
            <v>Item 9 Arrive date</v>
          </cell>
          <cell r="BM1" t="str">
            <v>Item 9 date due</v>
          </cell>
          <cell r="BN1" t="str">
            <v>Item 10 Qty</v>
          </cell>
          <cell r="BO1" t="str">
            <v>Item 10 Comm #</v>
          </cell>
          <cell r="BP1" t="str">
            <v>Item 10 Description</v>
          </cell>
          <cell r="BQ1" t="str">
            <v>Item 10 Prod #</v>
          </cell>
        </row>
        <row r="2">
          <cell r="C2" t="str">
            <v>P</v>
          </cell>
          <cell r="E2">
            <v>35688</v>
          </cell>
          <cell r="F2" t="str">
            <v>Rishma Prasad</v>
          </cell>
          <cell r="G2" t="str">
            <v>Broussard</v>
          </cell>
          <cell r="H2">
            <v>6413</v>
          </cell>
          <cell r="I2" t="str">
            <v>Oxy Bullock A-1 -This job may be up in approx two weeks; REF RO # 144271</v>
          </cell>
          <cell r="J2" t="str">
            <v>Oxy Bullock A-1 -This job may be up in approx two weeks; REF RO # 144271</v>
          </cell>
          <cell r="K2">
            <v>1</v>
          </cell>
          <cell r="L2" t="str">
            <v>426-09-14QE</v>
          </cell>
          <cell r="M2" t="str">
            <v xml:space="preserve">89-40 "F-1" RET PROD PKR     </v>
          </cell>
          <cell r="N2" t="str">
            <v>426-09</v>
          </cell>
          <cell r="O2">
            <v>35702</v>
          </cell>
          <cell r="P2">
            <v>35702</v>
          </cell>
          <cell r="Q2">
            <v>1</v>
          </cell>
          <cell r="R2" t="str">
            <v>02-43234-QD</v>
          </cell>
          <cell r="S2" t="str">
            <v>89-40 GUIDE</v>
          </cell>
          <cell r="T2" t="str">
            <v>89-40 GUIDE</v>
          </cell>
          <cell r="U2">
            <v>35702</v>
          </cell>
          <cell r="V2">
            <v>35702</v>
          </cell>
          <cell r="W2">
            <v>1</v>
          </cell>
          <cell r="X2" t="str">
            <v>02-43229-07QA</v>
          </cell>
          <cell r="Y2" t="str">
            <v>80-40 Concentric Coupling</v>
          </cell>
          <cell r="Z2" t="str">
            <v>ASSY,</v>
          </cell>
          <cell r="AA2">
            <v>35702</v>
          </cell>
          <cell r="AB2">
            <v>35702</v>
          </cell>
          <cell r="AC2">
            <v>1</v>
          </cell>
          <cell r="AD2" t="str">
            <v>02-43230-DV</v>
          </cell>
          <cell r="AE2" t="str">
            <v>499-41 Bottom Sub 80-40 3 1/2 12.95 Hyd PH-6, BMS S501 (just like 02-43230-24 except w/ 9 Cr, BMS S501)</v>
          </cell>
          <cell r="AF2" t="str">
            <v>499-41</v>
          </cell>
          <cell r="AG2">
            <v>35702</v>
          </cell>
          <cell r="AH2">
            <v>35702</v>
          </cell>
          <cell r="AI2">
            <v>1</v>
          </cell>
          <cell r="AJ2" t="str">
            <v>469-21-35XX</v>
          </cell>
          <cell r="AK2" t="str">
            <v>Wireline entry guide w/ 4.75 OD to 3 1/2 12.95# PH-6 Box thread up, using BMS S501, 9 Cr material w/ qty (4) 1/2" dia holes drilled into taper from OD angle to ID of WLEG</v>
          </cell>
          <cell r="AL2" t="str">
            <v>469-21</v>
          </cell>
          <cell r="AM2">
            <v>35702</v>
          </cell>
          <cell r="AN2">
            <v>35702</v>
          </cell>
          <cell r="AO2">
            <v>1</v>
          </cell>
          <cell r="AP2" t="str">
            <v>453-30-31DQ</v>
          </cell>
          <cell r="AQ2" t="str">
            <v>80-40 Model "G-22S" Locator Seal Assy w/ 3 1/2 9.2# CSCB Hydril x/ 1/2 Muleshoe w/ 2 ARYTE SU, 9 Cr</v>
          </cell>
          <cell r="AR2" t="str">
            <v>453-30</v>
          </cell>
          <cell r="AS2">
            <v>35702</v>
          </cell>
          <cell r="AT2">
            <v>35702</v>
          </cell>
          <cell r="AU2">
            <v>2</v>
          </cell>
          <cell r="AV2" t="str">
            <v>02-67262-16</v>
          </cell>
          <cell r="AW2" t="str">
            <v>80-40 Spacer tube 8', 9 Cr, BMS S501, 3.625 Stub Acme box x pin</v>
          </cell>
          <cell r="AX2" t="str">
            <v>80-40 Spacer tube 8', 9 Cr, BMS S501, 3.625 Stub Acme box x pin</v>
          </cell>
          <cell r="AY2">
            <v>35702</v>
          </cell>
          <cell r="AZ2">
            <v>35702</v>
          </cell>
          <cell r="BA2">
            <v>4</v>
          </cell>
          <cell r="BB2" t="str">
            <v>01-41745-58</v>
          </cell>
          <cell r="BC2" t="str">
            <v xml:space="preserve">80-40 SEAL UNIT BMS-S501 W/A-RYTE PACKING UNIT W/ BMS-S210 METAL GOODS                        </v>
          </cell>
          <cell r="BD2" t="str">
            <v xml:space="preserve">80-40 SEAL UNIT BMS-S501 W/A-RYTE PACKING UNIT W/ BMS-S210 METAL GOODS                        </v>
          </cell>
          <cell r="BE2">
            <v>35702</v>
          </cell>
          <cell r="BF2">
            <v>35702</v>
          </cell>
          <cell r="BG2">
            <v>35702</v>
          </cell>
        </row>
        <row r="3">
          <cell r="C3" t="str">
            <v>PA</v>
          </cell>
          <cell r="E3">
            <v>35692</v>
          </cell>
          <cell r="F3" t="str">
            <v>Rishma Prasad</v>
          </cell>
          <cell r="G3" t="str">
            <v>Broussard</v>
          </cell>
          <cell r="H3">
            <v>6413</v>
          </cell>
          <cell r="I3" t="str">
            <v>GBH-36 LTSA for Spirit Energy 76 for Nathan Johnson, BOT Sales</v>
          </cell>
          <cell r="J3" t="str">
            <v>GBH-36 LTSA for Spirit Energy 76 for Nathan Johnson, BOT Sales</v>
          </cell>
          <cell r="K3">
            <v>1</v>
          </cell>
          <cell r="L3" t="str">
            <v>450-01-XXXX</v>
          </cell>
          <cell r="M3" t="str">
            <v>80-40 GBH-36 LTSA w/ 3 1/2" 9.3# Hydril 533 Box thds up x 10' seal assy x 1/2 mule shoe using minimum 30-36 Rc material per BMS A101; order of seals: 1 locator sub w/ bonded seals, 1 bonded seal unit, 4' 80-40 spacer tube, 4 bonded seal units, 1/2 m.s.</v>
          </cell>
          <cell r="N3" t="str">
            <v>450-01</v>
          </cell>
          <cell r="O3">
            <v>35704</v>
          </cell>
          <cell r="P3">
            <v>35704</v>
          </cell>
          <cell r="Q3">
            <v>35704</v>
          </cell>
        </row>
        <row r="4">
          <cell r="C4" t="str">
            <v>PA</v>
          </cell>
          <cell r="E4" t="str">
            <v>9/24/97 THIS ORDER CONFIRMED BY BOT SALES 9/24/97 4PM</v>
          </cell>
          <cell r="F4" t="str">
            <v>R PRASAD</v>
          </cell>
          <cell r="G4" t="str">
            <v>Broussard</v>
          </cell>
          <cell r="H4">
            <v>6413</v>
          </cell>
          <cell r="I4" t="str">
            <v>AMOCO PARLANGE 6 - RE - COMPLETION (BURNT LAST PACKER OVER ON SUNDAY, 9/21/97) READY FOR REPLACEMENT BUT NEED BACKUP ASSY ORDERED</v>
          </cell>
          <cell r="J4" t="str">
            <v>AMOCO PARLANGE 6 - RE - COMPLETION (BURNT LAST PACKER OVER ON SUNDAY, 9/21/97) READY FOR REPLACEMENT BUT NEED BACKUP ASSY ORDERED</v>
          </cell>
          <cell r="K4">
            <v>1</v>
          </cell>
          <cell r="L4" t="str">
            <v>413-50-87QA</v>
          </cell>
          <cell r="M4" t="str">
            <v>SUPER FB-3 PACKER W/ AFLAS PE W/ 4 1/2 23.7 NEW VAM BOX USING INC 718 W/ 3.270 NONSEALING BORE</v>
          </cell>
          <cell r="N4" t="str">
            <v>413-50</v>
          </cell>
          <cell r="O4" t="str">
            <v>RO 145675; WILL DELIVER TO CADE 10/20/97 PER M RANDALL 10/6/97</v>
          </cell>
          <cell r="P4" t="str">
            <v>RO 145675; WILL DELIVER TO CADE 10/20/97 PER M RANDALL 10/6/97</v>
          </cell>
          <cell r="Q4">
            <v>2</v>
          </cell>
          <cell r="R4" t="str">
            <v>0247469-XX</v>
          </cell>
          <cell r="S4" t="str">
            <v>15' 80-32 SEAL BORE EXTENSION W/ 4 1/2 12.7# NEW VAM PIN X 4.3212 CRUSH RING PIN USING CHEAPER OF (1) SUPER 13 CR 95 KSI MATERIAL = 0247469-XX OR (2) INC 718 MATERIAL = 0247469QQ</v>
          </cell>
          <cell r="T4" t="str">
            <v>15' 80-32 SEAL BORE EXTENSION W/ 4 1/2 12.7# NEW VAM PIN X 4.3212 CRUSH RING PIN USING CHEAPER OF (1) SUPER 13 CR 95 KSI MATERIAL = 0247469-XX OR (2) INC 718 MATERIAL = 0247469QQ</v>
          </cell>
          <cell r="U4" t="str">
            <v>11/4/97 ON RO 145675 PER B AMBERG EMAIL 9/26/97</v>
          </cell>
          <cell r="V4" t="str">
            <v>11/4/97 ON RO 145675 PER B AMBERG EMAIL 9/26/97</v>
          </cell>
          <cell r="W4">
            <v>1</v>
          </cell>
          <cell r="X4" t="str">
            <v>0286215-XX</v>
          </cell>
          <cell r="Y4" t="str">
            <v>80-32 CONCENTRIC COUPLING 80-32 W/ CRUSH RING BOX X BOX USING CHEAPER OF (1) SUPER 13 CR 95 KSI MATERIAL = 0286215-XX OR (2) INC 718 MATERIAL = 0286215QA</v>
          </cell>
          <cell r="Z4" t="str">
            <v>80-32 CONCENTRIC COUPLING 80-32 W/ CRUSH RING BOX X BOX USING CHEAPER OF (1) SUPER 13 CR 95 KSI MATERIAL = 0286215-XX OR (2) INC 718 MATERIAL = 0286215QA</v>
          </cell>
          <cell r="AA4" t="str">
            <v>11/4/97 ON RO 145675 PER B AMBERG EMAIL 9/26/97</v>
          </cell>
          <cell r="AB4" t="str">
            <v>11/4/97 ON RO 145675 PER B AMBERG EMAIL 9/26/97</v>
          </cell>
        </row>
        <row r="5">
          <cell r="C5" t="str">
            <v>INF</v>
          </cell>
          <cell r="E5">
            <v>35704</v>
          </cell>
          <cell r="F5" t="str">
            <v>B. VINCENT</v>
          </cell>
          <cell r="G5" t="str">
            <v>LB</v>
          </cell>
          <cell r="H5">
            <v>6413</v>
          </cell>
          <cell r="I5" t="str">
            <v>STOCK</v>
          </cell>
          <cell r="J5" t="str">
            <v>STOCK</v>
          </cell>
          <cell r="K5">
            <v>3</v>
          </cell>
          <cell r="L5">
            <v>301483202</v>
          </cell>
          <cell r="M5" t="str">
            <v xml:space="preserve"> ER 052996 LIFT SUB F/ECP 5.50 IN 17.00 LB/FT 8RD BOX  X BUTTRESS PIN, 9 FT LG, L-80             </v>
          </cell>
          <cell r="N5">
            <v>30148</v>
          </cell>
          <cell r="O5" t="str">
            <v>ASAP</v>
          </cell>
          <cell r="P5" t="str">
            <v>ASAP</v>
          </cell>
          <cell r="Q5">
            <v>2</v>
          </cell>
          <cell r="R5">
            <v>301485301</v>
          </cell>
          <cell r="S5" t="str">
            <v xml:space="preserve"> ER 041796    LIFT SUB F/PAYZONE &amp; ISOZONE F/ECP F/7.625 IN     33.7 LB/FT 8RD BOX X BUTTRESS PIN, 9FT LG.  (29.7# DRIFT) P-110                                          </v>
          </cell>
          <cell r="T5">
            <v>30148</v>
          </cell>
          <cell r="U5" t="str">
            <v>ASAP</v>
          </cell>
          <cell r="V5" t="str">
            <v>ASAP</v>
          </cell>
          <cell r="W5">
            <v>1</v>
          </cell>
          <cell r="X5" t="str">
            <v>30148XXXX</v>
          </cell>
          <cell r="Y5" t="str">
            <v>9.63" 47# 43.5#DRIFT BUTTRESS BOX BY PIN 9' LONG P-110 LIFT SUB</v>
          </cell>
          <cell r="Z5">
            <v>30148</v>
          </cell>
          <cell r="AA5" t="str">
            <v>ASAP</v>
          </cell>
          <cell r="AB5" t="str">
            <v>ASAP</v>
          </cell>
          <cell r="AC5">
            <v>2</v>
          </cell>
          <cell r="AD5">
            <v>301486332</v>
          </cell>
          <cell r="AE5" t="str">
            <v xml:space="preserve"> ER082197   LIFT SUB F/ECP 9.63 IN 53.5 LB/FT DRIFT TO 47.0   LB/FT 8RD BOX X BUTTRESS PIN, 9 FT, P-110                                             </v>
          </cell>
          <cell r="AF5">
            <v>30148</v>
          </cell>
          <cell r="AG5" t="str">
            <v>ASAP</v>
          </cell>
          <cell r="AH5" t="str">
            <v>ASAP</v>
          </cell>
          <cell r="AI5">
            <v>2</v>
          </cell>
          <cell r="AJ5">
            <v>301486306</v>
          </cell>
          <cell r="AK5" t="str">
            <v xml:space="preserve"> ER 050996  LIFT SUB F/ECP 9.63 IN 53.5 LB/FT DRIFT TO 47.0   LB/FT BUTTRESS BOX X PIN, 9 FT, P110                                           </v>
          </cell>
          <cell r="AL5">
            <v>30148</v>
          </cell>
          <cell r="AM5" t="str">
            <v>ASAP</v>
          </cell>
          <cell r="AN5" t="str">
            <v>ASAP</v>
          </cell>
        </row>
        <row r="6">
          <cell r="C6" t="str">
            <v>INF</v>
          </cell>
          <cell r="E6">
            <v>100297</v>
          </cell>
          <cell r="F6" t="str">
            <v>B. VINCENT</v>
          </cell>
          <cell r="G6" t="str">
            <v>LB</v>
          </cell>
          <cell r="H6">
            <v>6413</v>
          </cell>
          <cell r="I6" t="str">
            <v>STOCK</v>
          </cell>
          <cell r="J6" t="str">
            <v>STOCK</v>
          </cell>
          <cell r="K6" t="str">
            <v>5'</v>
          </cell>
          <cell r="L6">
            <v>47251151</v>
          </cell>
          <cell r="M6" t="str">
            <v>.038 - 400PSI SHEAR WIRE</v>
          </cell>
          <cell r="N6" t="str">
            <v>.038 - 400PSI SHEAR WIRE</v>
          </cell>
          <cell r="O6">
            <v>35709</v>
          </cell>
          <cell r="P6">
            <v>35709</v>
          </cell>
          <cell r="Q6" t="str">
            <v>5'</v>
          </cell>
          <cell r="R6">
            <v>47251140</v>
          </cell>
          <cell r="S6" t="str">
            <v>.040 - 575 PSI SHEAR WIRE</v>
          </cell>
          <cell r="T6" t="str">
            <v>.040 - 575 PSI SHEAR WIRE</v>
          </cell>
          <cell r="U6">
            <v>35709</v>
          </cell>
          <cell r="V6">
            <v>35709</v>
          </cell>
          <cell r="W6" t="str">
            <v>5'</v>
          </cell>
          <cell r="X6">
            <v>47251145</v>
          </cell>
          <cell r="Y6" t="str">
            <v>.045 750 PSI SHEAR WIRE</v>
          </cell>
          <cell r="Z6" t="str">
            <v>.045 750 PSI SHEAR WIRE</v>
          </cell>
          <cell r="AA6">
            <v>35709</v>
          </cell>
          <cell r="AB6">
            <v>35709</v>
          </cell>
          <cell r="AC6" t="str">
            <v>5'</v>
          </cell>
          <cell r="AD6">
            <v>47251151</v>
          </cell>
          <cell r="AE6" t="str">
            <v>.051 1000 PSI SHEAR WIRE</v>
          </cell>
          <cell r="AF6" t="str">
            <v>.051 1000 PSI SHEAR WIRE</v>
          </cell>
          <cell r="AG6">
            <v>35709</v>
          </cell>
          <cell r="AH6">
            <v>35709</v>
          </cell>
          <cell r="AI6" t="str">
            <v>5'</v>
          </cell>
          <cell r="AJ6">
            <v>47251157</v>
          </cell>
          <cell r="AK6" t="str">
            <v>.057 1250 PSI SHEAR WIRE</v>
          </cell>
          <cell r="AL6" t="str">
            <v>.057 1250 PSI SHEAR WIRE</v>
          </cell>
          <cell r="AM6">
            <v>35709</v>
          </cell>
          <cell r="AN6">
            <v>35709</v>
          </cell>
          <cell r="AO6" t="str">
            <v>5'</v>
          </cell>
          <cell r="AP6">
            <v>47251164</v>
          </cell>
          <cell r="AQ6" t="str">
            <v>.064 1600 PSI SHEAR WIRE</v>
          </cell>
          <cell r="AR6" t="str">
            <v>.064 1600 PSI SHEAR WIRE</v>
          </cell>
          <cell r="AS6">
            <v>35709</v>
          </cell>
          <cell r="AT6">
            <v>35709</v>
          </cell>
          <cell r="AU6" t="str">
            <v>5'</v>
          </cell>
          <cell r="AV6">
            <v>47251172</v>
          </cell>
          <cell r="AW6" t="str">
            <v>.072 2000 PSI SHEAR WIRE</v>
          </cell>
          <cell r="AX6" t="str">
            <v>.072 2000 PSI SHEAR WIRE</v>
          </cell>
          <cell r="AY6">
            <v>35709</v>
          </cell>
          <cell r="AZ6">
            <v>35709</v>
          </cell>
          <cell r="BA6" t="str">
            <v>5'</v>
          </cell>
          <cell r="BB6">
            <v>47251181</v>
          </cell>
          <cell r="BC6" t="str">
            <v>.081 2600 PSI SHEAR WIRE</v>
          </cell>
          <cell r="BD6" t="str">
            <v>.081 2600 PSI SHEAR WIRE</v>
          </cell>
          <cell r="BE6">
            <v>35709</v>
          </cell>
          <cell r="BF6">
            <v>35709</v>
          </cell>
        </row>
        <row r="7">
          <cell r="C7" t="str">
            <v>P</v>
          </cell>
          <cell r="E7">
            <v>35709</v>
          </cell>
          <cell r="F7" t="str">
            <v>Rishma Prasad</v>
          </cell>
          <cell r="G7" t="str">
            <v>LB</v>
          </cell>
          <cell r="H7">
            <v>6413</v>
          </cell>
          <cell r="I7" t="str">
            <v xml:space="preserve">AMOCO MERRICK ESTATES - TWO 83-40 SUPER FB-3'S WERE ORDERED FOR THIS WELL &amp; CSG SIZE WAS CHANGED BY CUST ON 8/25/97 SO CADE OPS COORD PLANNED ON USING THE TWO PKRS WE HAD IN WHSE (ONE FROM MAR 97 SOLD ON ANOTHER WELL AS BACKUP PKR &amp; OTHER WAS BACKUP FOR </v>
          </cell>
          <cell r="J7" t="str">
            <v>PARLANGE 6 BUT WAS USED FOR PARLANGE 6 RECOMMPLETE SINCE BURNT 1ST PKR; THUS, WE HAVE ONLY 1 87-40 IN WHSE LEFT FROM BACKUP PKR  IN MAR  97 SO WE NEED TO ORDER TWO FOR THIS WELL; ONE MAIN ONE &amp; ONE BACKUP; WE HAVE ASSEMBLED MERRICK ESTATES USING 3/97 PKR)</v>
          </cell>
          <cell r="K7">
            <v>2</v>
          </cell>
          <cell r="L7" t="str">
            <v>413-50-87QA</v>
          </cell>
          <cell r="M7" t="str">
            <v>SUPER FB-3 PACKER W/ AFLAS PE W/ 4 1/2 23.7 NEW VAM BOX USING INC 718 W/ 3.270 NONSEALING BORE</v>
          </cell>
          <cell r="N7" t="str">
            <v>413-50</v>
          </cell>
          <cell r="O7" t="str">
            <v>CUST SVC - PLEASE SUBMIT PLANNED DELIVERY DATE</v>
          </cell>
          <cell r="P7" t="str">
            <v>CUST SVC - PLEASE SUBMIT PLANNED DELIVERY DATE</v>
          </cell>
          <cell r="S7" t="str">
            <v xml:space="preserve">     </v>
          </cell>
          <cell r="T7" t="str">
            <v xml:space="preserve">     </v>
          </cell>
          <cell r="AE7" t="str">
            <v xml:space="preserve">  </v>
          </cell>
          <cell r="AF7" t="str">
            <v xml:space="preserve">  </v>
          </cell>
          <cell r="AK7" t="str">
            <v xml:space="preserve">        </v>
          </cell>
          <cell r="AL7" t="str">
            <v xml:space="preserve">        </v>
          </cell>
        </row>
        <row r="8">
          <cell r="C8" t="str">
            <v>PA</v>
          </cell>
          <cell r="E8">
            <v>35709</v>
          </cell>
          <cell r="F8" t="str">
            <v>W. STOVALL</v>
          </cell>
          <cell r="G8" t="str">
            <v>LB</v>
          </cell>
          <cell r="H8">
            <v>6413</v>
          </cell>
          <cell r="I8" t="str">
            <v>REG. FREIGHT  TRK.</v>
          </cell>
          <cell r="J8" t="str">
            <v>REG. FREIGHT  TRK.</v>
          </cell>
          <cell r="K8">
            <v>10</v>
          </cell>
          <cell r="L8" t="str">
            <v>899-33-218P</v>
          </cell>
          <cell r="M8" t="str">
            <v>BAKERSEAL</v>
          </cell>
          <cell r="N8" t="str">
            <v>899-33</v>
          </cell>
          <cell r="O8">
            <v>35711</v>
          </cell>
          <cell r="P8">
            <v>35711</v>
          </cell>
          <cell r="Q8">
            <v>10</v>
          </cell>
          <cell r="R8" t="str">
            <v>0218918-00</v>
          </cell>
          <cell r="S8" t="str">
            <v>1 3/8 RUBBER BALL</v>
          </cell>
          <cell r="T8" t="str">
            <v>1 3/8 RUBBER BALL</v>
          </cell>
          <cell r="U8">
            <v>35711</v>
          </cell>
          <cell r="V8">
            <v>35711</v>
          </cell>
          <cell r="W8">
            <v>10</v>
          </cell>
          <cell r="X8" t="str">
            <v>02-17168-00</v>
          </cell>
          <cell r="Y8" t="str">
            <v>1 3/4 RUBBER BALL</v>
          </cell>
          <cell r="Z8" t="str">
            <v>1 3/4 RUBBER BALL</v>
          </cell>
          <cell r="AA8">
            <v>35711</v>
          </cell>
          <cell r="AB8">
            <v>35711</v>
          </cell>
          <cell r="AC8">
            <v>10</v>
          </cell>
          <cell r="AD8" t="str">
            <v>899-34-218P</v>
          </cell>
          <cell r="AE8" t="str">
            <v>BAKER API MOD.  DOPE</v>
          </cell>
          <cell r="AF8" t="str">
            <v>899-34</v>
          </cell>
          <cell r="AG8">
            <v>35711</v>
          </cell>
          <cell r="AH8">
            <v>35711</v>
          </cell>
          <cell r="AI8">
            <v>3</v>
          </cell>
          <cell r="AJ8" t="str">
            <v>01-69949-00</v>
          </cell>
          <cell r="AK8" t="str">
            <v>01-69949-00</v>
          </cell>
          <cell r="AM8">
            <v>35711</v>
          </cell>
          <cell r="AN8">
            <v>35711</v>
          </cell>
          <cell r="AO8">
            <v>2</v>
          </cell>
          <cell r="AP8" t="str">
            <v>01-70743-00</v>
          </cell>
          <cell r="AQ8" t="str">
            <v>01-70743-00</v>
          </cell>
          <cell r="AU8">
            <v>2</v>
          </cell>
          <cell r="AV8" t="str">
            <v>01-53507-00</v>
          </cell>
          <cell r="AW8" t="str">
            <v>01-53507-00</v>
          </cell>
          <cell r="BA8">
            <v>2</v>
          </cell>
          <cell r="BB8" t="str">
            <v>0289664-00</v>
          </cell>
          <cell r="BC8" t="str">
            <v>0289664-00</v>
          </cell>
          <cell r="BG8">
            <v>1</v>
          </cell>
          <cell r="BH8" t="str">
            <v>01-54505-00</v>
          </cell>
          <cell r="BI8" t="str">
            <v>01-54505-00</v>
          </cell>
          <cell r="BM8">
            <v>2</v>
          </cell>
          <cell r="BN8" t="str">
            <v>0240249-00</v>
          </cell>
          <cell r="BO8" t="str">
            <v>0240249-00</v>
          </cell>
        </row>
        <row r="9">
          <cell r="C9" t="str">
            <v>PA</v>
          </cell>
          <cell r="E9">
            <v>35709</v>
          </cell>
          <cell r="F9" t="str">
            <v>W. STOVALL</v>
          </cell>
          <cell r="G9" t="str">
            <v>LB</v>
          </cell>
          <cell r="H9">
            <v>6413</v>
          </cell>
          <cell r="I9" t="str">
            <v>REG. FREIGHT  TRK.</v>
          </cell>
          <cell r="J9" t="str">
            <v>REG. FREIGHT  TRK.</v>
          </cell>
          <cell r="K9">
            <v>1</v>
          </cell>
          <cell r="L9" t="str">
            <v>01-77834-02</v>
          </cell>
          <cell r="M9" t="str">
            <v>01-77834-02</v>
          </cell>
          <cell r="O9">
            <v>35711</v>
          </cell>
          <cell r="P9">
            <v>35711</v>
          </cell>
          <cell r="Q9">
            <v>100</v>
          </cell>
          <cell r="R9" t="str">
            <v>WWT11FOOO</v>
          </cell>
          <cell r="S9" t="str">
            <v>WWT11FOOO</v>
          </cell>
          <cell r="U9">
            <v>35711</v>
          </cell>
          <cell r="V9">
            <v>35711</v>
          </cell>
          <cell r="W9">
            <v>50</v>
          </cell>
          <cell r="X9" t="str">
            <v>WWT51F630</v>
          </cell>
          <cell r="Y9" t="str">
            <v>WWT51F630</v>
          </cell>
          <cell r="AA9">
            <v>35711</v>
          </cell>
          <cell r="AB9">
            <v>35711</v>
          </cell>
          <cell r="AC9">
            <v>200</v>
          </cell>
          <cell r="AD9" t="str">
            <v>0261209-00</v>
          </cell>
          <cell r="AE9" t="str">
            <v>0261209-00</v>
          </cell>
          <cell r="AG9">
            <v>35711</v>
          </cell>
          <cell r="AH9">
            <v>35711</v>
          </cell>
          <cell r="AI9">
            <v>200</v>
          </cell>
          <cell r="AJ9" t="str">
            <v>02-61359-00</v>
          </cell>
          <cell r="AK9" t="str">
            <v>02-61359-00</v>
          </cell>
          <cell r="AM9">
            <v>35711</v>
          </cell>
          <cell r="AN9">
            <v>35711</v>
          </cell>
          <cell r="AO9">
            <v>200</v>
          </cell>
          <cell r="AP9" t="str">
            <v>02-61360-00</v>
          </cell>
          <cell r="AQ9" t="str">
            <v>02-61360-00</v>
          </cell>
          <cell r="AS9">
            <v>35711</v>
          </cell>
          <cell r="AT9">
            <v>35711</v>
          </cell>
          <cell r="AU9">
            <v>200</v>
          </cell>
          <cell r="AV9" t="str">
            <v>02-61362-00</v>
          </cell>
          <cell r="AW9" t="str">
            <v>02-61362-00</v>
          </cell>
          <cell r="AY9">
            <v>35711</v>
          </cell>
          <cell r="AZ9">
            <v>35711</v>
          </cell>
          <cell r="BA9">
            <v>100</v>
          </cell>
          <cell r="BB9" t="str">
            <v>02-61366-00</v>
          </cell>
          <cell r="BC9" t="str">
            <v>02-61366-00</v>
          </cell>
          <cell r="BE9">
            <v>35711</v>
          </cell>
          <cell r="BF9">
            <v>35711</v>
          </cell>
          <cell r="BG9">
            <v>200</v>
          </cell>
          <cell r="BH9" t="str">
            <v>02-61367-00</v>
          </cell>
          <cell r="BI9" t="str">
            <v>02-61367-00</v>
          </cell>
          <cell r="BK9">
            <v>35711</v>
          </cell>
          <cell r="BL9">
            <v>35711</v>
          </cell>
          <cell r="BM9">
            <v>50</v>
          </cell>
          <cell r="BN9" t="str">
            <v>02-61369-00</v>
          </cell>
          <cell r="BO9" t="str">
            <v>02-61369-00</v>
          </cell>
          <cell r="BQ9">
            <v>35711</v>
          </cell>
        </row>
        <row r="10">
          <cell r="C10" t="str">
            <v>PA</v>
          </cell>
          <cell r="E10">
            <v>35709</v>
          </cell>
          <cell r="F10" t="str">
            <v>W. STOVALL</v>
          </cell>
          <cell r="G10" t="str">
            <v>LB</v>
          </cell>
          <cell r="H10">
            <v>6413</v>
          </cell>
          <cell r="I10" t="str">
            <v>REG. FREIGHT  TRK.</v>
          </cell>
          <cell r="J10" t="str">
            <v>REG. FREIGHT  TRK.</v>
          </cell>
          <cell r="K10">
            <v>200</v>
          </cell>
          <cell r="L10" t="str">
            <v>02-33726-01</v>
          </cell>
          <cell r="M10" t="str">
            <v>02-33726-01</v>
          </cell>
          <cell r="O10">
            <v>35711</v>
          </cell>
          <cell r="P10">
            <v>35711</v>
          </cell>
          <cell r="Q10">
            <v>200</v>
          </cell>
          <cell r="R10" t="str">
            <v>02-30982-00</v>
          </cell>
          <cell r="S10" t="str">
            <v>02-30982-00</v>
          </cell>
          <cell r="U10">
            <v>35711</v>
          </cell>
          <cell r="V10">
            <v>35711</v>
          </cell>
          <cell r="W10">
            <v>200</v>
          </cell>
          <cell r="X10" t="str">
            <v>02-30982-01</v>
          </cell>
          <cell r="Y10" t="str">
            <v>02-30982-01</v>
          </cell>
          <cell r="AA10">
            <v>35711</v>
          </cell>
          <cell r="AB10">
            <v>35711</v>
          </cell>
          <cell r="AC10">
            <v>50</v>
          </cell>
          <cell r="AD10" t="str">
            <v>WWB221V40</v>
          </cell>
          <cell r="AE10" t="str">
            <v>WWB221V40</v>
          </cell>
          <cell r="AG10">
            <v>35711</v>
          </cell>
          <cell r="AH10">
            <v>35711</v>
          </cell>
          <cell r="AI10">
            <v>50</v>
          </cell>
          <cell r="AJ10" t="str">
            <v>WWB213V40</v>
          </cell>
          <cell r="AK10" t="str">
            <v>WWB213V40</v>
          </cell>
          <cell r="AM10">
            <v>35711</v>
          </cell>
          <cell r="AN10">
            <v>35711</v>
          </cell>
          <cell r="AO10">
            <v>50</v>
          </cell>
          <cell r="AP10" t="str">
            <v>WWB332V40</v>
          </cell>
          <cell r="AQ10" t="str">
            <v>WWB332V40</v>
          </cell>
          <cell r="AS10">
            <v>35711</v>
          </cell>
          <cell r="AT10">
            <v>35711</v>
          </cell>
          <cell r="AU10">
            <v>50</v>
          </cell>
          <cell r="AV10" t="str">
            <v>WWB229V40</v>
          </cell>
          <cell r="AW10" t="str">
            <v>WWB229V40</v>
          </cell>
          <cell r="AY10">
            <v>35711</v>
          </cell>
          <cell r="AZ10">
            <v>35711</v>
          </cell>
          <cell r="BA10">
            <v>50</v>
          </cell>
          <cell r="BB10" t="str">
            <v>WWB135V40</v>
          </cell>
          <cell r="BC10" t="str">
            <v>WWB135V40</v>
          </cell>
          <cell r="BE10">
            <v>35711</v>
          </cell>
          <cell r="BF10">
            <v>35711</v>
          </cell>
          <cell r="BG10">
            <v>50</v>
          </cell>
          <cell r="BH10" t="str">
            <v>WWB216V40</v>
          </cell>
          <cell r="BI10" t="str">
            <v>WWB216V40</v>
          </cell>
          <cell r="BK10">
            <v>35711</v>
          </cell>
          <cell r="BL10">
            <v>35711</v>
          </cell>
          <cell r="BM10">
            <v>50</v>
          </cell>
          <cell r="BN10" t="str">
            <v>WWB218V40</v>
          </cell>
          <cell r="BO10" t="str">
            <v>WWB218V40</v>
          </cell>
          <cell r="BQ10">
            <v>35711</v>
          </cell>
        </row>
        <row r="11">
          <cell r="C11" t="str">
            <v>PA</v>
          </cell>
          <cell r="E11">
            <v>35709</v>
          </cell>
          <cell r="F11" t="str">
            <v>W. STOVALL</v>
          </cell>
          <cell r="G11" t="str">
            <v>LB</v>
          </cell>
          <cell r="H11">
            <v>6413</v>
          </cell>
          <cell r="I11" t="str">
            <v>REG. FREIGHT  TRK.</v>
          </cell>
          <cell r="J11" t="str">
            <v>REG. FREIGHT  TRK.</v>
          </cell>
          <cell r="K11">
            <v>50</v>
          </cell>
          <cell r="L11" t="str">
            <v>WWB138V40</v>
          </cell>
          <cell r="M11" t="str">
            <v>WWB138V40</v>
          </cell>
          <cell r="O11">
            <v>35711</v>
          </cell>
          <cell r="P11">
            <v>35711</v>
          </cell>
          <cell r="Q11">
            <v>50</v>
          </cell>
          <cell r="R11" t="str">
            <v>WW144V40</v>
          </cell>
          <cell r="S11" t="str">
            <v>WW144V40</v>
          </cell>
          <cell r="U11">
            <v>35711</v>
          </cell>
          <cell r="V11">
            <v>35711</v>
          </cell>
          <cell r="W11">
            <v>50</v>
          </cell>
          <cell r="X11" t="str">
            <v>WWB148V40</v>
          </cell>
          <cell r="Y11" t="str">
            <v>WWB148V40</v>
          </cell>
          <cell r="AA11">
            <v>35711</v>
          </cell>
          <cell r="AB11">
            <v>35711</v>
          </cell>
          <cell r="AC11">
            <v>50</v>
          </cell>
          <cell r="AD11" t="str">
            <v>WWB146V40</v>
          </cell>
          <cell r="AE11" t="str">
            <v>WWB146V40</v>
          </cell>
          <cell r="AG11">
            <v>35711</v>
          </cell>
          <cell r="AH11">
            <v>35711</v>
          </cell>
          <cell r="AI11">
            <v>50</v>
          </cell>
          <cell r="AJ11" t="str">
            <v>WWB154V40</v>
          </cell>
          <cell r="AK11" t="str">
            <v>WWB154V40</v>
          </cell>
          <cell r="AM11">
            <v>35711</v>
          </cell>
          <cell r="AN11">
            <v>35711</v>
          </cell>
          <cell r="AO11">
            <v>50</v>
          </cell>
          <cell r="AP11" t="str">
            <v>WWB158V40</v>
          </cell>
          <cell r="AQ11" t="str">
            <v>WWB158V40</v>
          </cell>
          <cell r="AS11">
            <v>35711</v>
          </cell>
          <cell r="AT11">
            <v>35711</v>
          </cell>
          <cell r="AU11">
            <v>50</v>
          </cell>
          <cell r="AV11" t="str">
            <v>WWB159V40</v>
          </cell>
          <cell r="AW11" t="str">
            <v>WWB159V40</v>
          </cell>
          <cell r="AY11">
            <v>35711</v>
          </cell>
          <cell r="AZ11">
            <v>35711</v>
          </cell>
          <cell r="BA11">
            <v>50</v>
          </cell>
          <cell r="BB11" t="str">
            <v>WWB224V40</v>
          </cell>
          <cell r="BC11" t="str">
            <v>WWB224V40</v>
          </cell>
          <cell r="BE11">
            <v>35711</v>
          </cell>
          <cell r="BF11">
            <v>35711</v>
          </cell>
          <cell r="BG11">
            <v>50</v>
          </cell>
          <cell r="BH11" t="str">
            <v>WWB228V40</v>
          </cell>
          <cell r="BI11" t="str">
            <v>WWB228V40</v>
          </cell>
          <cell r="BK11">
            <v>35711</v>
          </cell>
          <cell r="BL11">
            <v>35711</v>
          </cell>
          <cell r="BM11">
            <v>50</v>
          </cell>
          <cell r="BN11" t="str">
            <v>WWB227V40</v>
          </cell>
          <cell r="BO11" t="str">
            <v>WWB227V40</v>
          </cell>
          <cell r="BQ11">
            <v>35711</v>
          </cell>
        </row>
        <row r="12">
          <cell r="C12" t="str">
            <v>PA</v>
          </cell>
          <cell r="E12">
            <v>35709</v>
          </cell>
          <cell r="F12" t="str">
            <v>W. STOVALL</v>
          </cell>
          <cell r="G12" t="str">
            <v>LB</v>
          </cell>
          <cell r="H12">
            <v>6413</v>
          </cell>
          <cell r="I12" t="str">
            <v>REG. FREIGHT  TRK.</v>
          </cell>
          <cell r="J12" t="str">
            <v>REG. FREIGHT  TRK.</v>
          </cell>
          <cell r="K12">
            <v>50</v>
          </cell>
          <cell r="L12" t="str">
            <v>WWB226V40</v>
          </cell>
          <cell r="M12" t="str">
            <v>WWB226V40</v>
          </cell>
          <cell r="O12">
            <v>35711</v>
          </cell>
          <cell r="P12">
            <v>35711</v>
          </cell>
          <cell r="Q12">
            <v>50</v>
          </cell>
          <cell r="R12" t="str">
            <v>WWB225V40</v>
          </cell>
          <cell r="S12" t="str">
            <v>WWB225V40</v>
          </cell>
          <cell r="U12">
            <v>35711</v>
          </cell>
          <cell r="V12">
            <v>35711</v>
          </cell>
          <cell r="W12">
            <v>50</v>
          </cell>
          <cell r="X12" t="str">
            <v>WWB232V40</v>
          </cell>
          <cell r="Y12" t="str">
            <v>WWB232V40</v>
          </cell>
          <cell r="AA12">
            <v>35711</v>
          </cell>
          <cell r="AB12">
            <v>35711</v>
          </cell>
          <cell r="AC12">
            <v>200</v>
          </cell>
          <cell r="AD12" t="str">
            <v>WWB227V40</v>
          </cell>
          <cell r="AE12" t="str">
            <v>WWB227V40</v>
          </cell>
          <cell r="AG12">
            <v>35711</v>
          </cell>
          <cell r="AH12">
            <v>35711</v>
          </cell>
          <cell r="AI12">
            <v>50</v>
          </cell>
          <cell r="AJ12" t="str">
            <v>WWB233V40</v>
          </cell>
          <cell r="AK12" t="str">
            <v>WWB233V40</v>
          </cell>
          <cell r="AM12">
            <v>35711</v>
          </cell>
          <cell r="AN12">
            <v>35711</v>
          </cell>
          <cell r="AO12">
            <v>200</v>
          </cell>
          <cell r="AP12" t="str">
            <v>WWB234V40</v>
          </cell>
          <cell r="AQ12" t="str">
            <v>WWB234V40</v>
          </cell>
          <cell r="AS12">
            <v>35711</v>
          </cell>
          <cell r="AT12">
            <v>35711</v>
          </cell>
          <cell r="AU12">
            <v>50</v>
          </cell>
          <cell r="AV12" t="str">
            <v>WWB235V40</v>
          </cell>
          <cell r="AW12" t="str">
            <v>WWB235V40</v>
          </cell>
          <cell r="AY12">
            <v>35711</v>
          </cell>
          <cell r="AZ12">
            <v>35711</v>
          </cell>
          <cell r="BA12">
            <v>100</v>
          </cell>
          <cell r="BB12" t="str">
            <v>WWB236V40</v>
          </cell>
          <cell r="BC12" t="str">
            <v>WWB236V40</v>
          </cell>
          <cell r="BE12">
            <v>35711</v>
          </cell>
          <cell r="BF12">
            <v>35711</v>
          </cell>
          <cell r="BG12">
            <v>100</v>
          </cell>
          <cell r="BH12" t="str">
            <v>WWB237V40</v>
          </cell>
          <cell r="BI12" t="str">
            <v>WWB237V40</v>
          </cell>
          <cell r="BK12">
            <v>35711</v>
          </cell>
          <cell r="BL12">
            <v>35711</v>
          </cell>
          <cell r="BM12">
            <v>50</v>
          </cell>
          <cell r="BN12" t="str">
            <v>WWB238V40</v>
          </cell>
          <cell r="BO12" t="str">
            <v>WWB238V40</v>
          </cell>
          <cell r="BQ12">
            <v>35711</v>
          </cell>
        </row>
        <row r="13">
          <cell r="C13" t="str">
            <v>PA</v>
          </cell>
          <cell r="E13">
            <v>35709</v>
          </cell>
          <cell r="F13" t="str">
            <v>W. STOVALL</v>
          </cell>
          <cell r="G13" t="str">
            <v>LB</v>
          </cell>
          <cell r="H13">
            <v>6413</v>
          </cell>
          <cell r="I13" t="str">
            <v>REG. FREIGHT  TRK.</v>
          </cell>
          <cell r="J13" t="str">
            <v>REG. FREIGHT  TRK.</v>
          </cell>
          <cell r="K13">
            <v>100</v>
          </cell>
          <cell r="L13" t="str">
            <v>WWB222V40</v>
          </cell>
          <cell r="M13" t="str">
            <v>WWB222V40</v>
          </cell>
          <cell r="O13">
            <v>35711</v>
          </cell>
          <cell r="P13">
            <v>35711</v>
          </cell>
          <cell r="Q13">
            <v>100</v>
          </cell>
          <cell r="R13" t="str">
            <v>WWB240V40</v>
          </cell>
          <cell r="S13" t="str">
            <v>WWB240V40</v>
          </cell>
          <cell r="U13">
            <v>35711</v>
          </cell>
          <cell r="V13">
            <v>35711</v>
          </cell>
          <cell r="W13">
            <v>50</v>
          </cell>
          <cell r="X13" t="str">
            <v>WWB242V40</v>
          </cell>
          <cell r="Y13" t="str">
            <v>WWB242V40</v>
          </cell>
          <cell r="AA13">
            <v>35711</v>
          </cell>
          <cell r="AB13">
            <v>35711</v>
          </cell>
          <cell r="AC13">
            <v>50</v>
          </cell>
          <cell r="AD13" t="str">
            <v>WWB243V40</v>
          </cell>
          <cell r="AE13" t="str">
            <v>WWB243V40</v>
          </cell>
          <cell r="AG13">
            <v>35711</v>
          </cell>
          <cell r="AH13">
            <v>35711</v>
          </cell>
          <cell r="AI13">
            <v>50</v>
          </cell>
          <cell r="AJ13" t="str">
            <v>WWB247V40</v>
          </cell>
          <cell r="AK13" t="str">
            <v>WWB247V40</v>
          </cell>
          <cell r="AM13">
            <v>35711</v>
          </cell>
          <cell r="AN13">
            <v>35711</v>
          </cell>
          <cell r="AO13">
            <v>50</v>
          </cell>
          <cell r="AP13" t="str">
            <v>WWB248V40</v>
          </cell>
          <cell r="AQ13" t="str">
            <v>WWB248V40</v>
          </cell>
          <cell r="AS13">
            <v>35711</v>
          </cell>
          <cell r="AT13">
            <v>35711</v>
          </cell>
          <cell r="AU13">
            <v>50</v>
          </cell>
          <cell r="AV13" t="str">
            <v>WWB249V40</v>
          </cell>
          <cell r="AW13" t="str">
            <v>WWB249V40</v>
          </cell>
          <cell r="AY13">
            <v>35711</v>
          </cell>
          <cell r="AZ13">
            <v>35711</v>
          </cell>
          <cell r="BA13">
            <v>50</v>
          </cell>
          <cell r="BB13" t="str">
            <v>WWB250V40</v>
          </cell>
          <cell r="BC13" t="str">
            <v>WWB250V40</v>
          </cell>
          <cell r="BE13">
            <v>35711</v>
          </cell>
          <cell r="BF13">
            <v>35711</v>
          </cell>
          <cell r="BG13">
            <v>50</v>
          </cell>
          <cell r="BH13" t="str">
            <v>WWB339V40</v>
          </cell>
          <cell r="BI13" t="str">
            <v>WWB339V40</v>
          </cell>
          <cell r="BK13">
            <v>35711</v>
          </cell>
          <cell r="BL13">
            <v>35711</v>
          </cell>
          <cell r="BM13">
            <v>100</v>
          </cell>
          <cell r="BN13" t="str">
            <v>WWB334V40</v>
          </cell>
          <cell r="BO13" t="str">
            <v>WWB334V40</v>
          </cell>
          <cell r="BQ13">
            <v>35711</v>
          </cell>
        </row>
        <row r="14">
          <cell r="C14" t="str">
            <v>PA</v>
          </cell>
          <cell r="E14">
            <v>35709</v>
          </cell>
          <cell r="F14" t="str">
            <v>W. STOVALL</v>
          </cell>
          <cell r="G14" t="str">
            <v>LB</v>
          </cell>
          <cell r="H14">
            <v>6413</v>
          </cell>
          <cell r="I14" t="str">
            <v>REG. FREIGHT  TRK.</v>
          </cell>
          <cell r="J14" t="str">
            <v>REG. FREIGHT  TRK.</v>
          </cell>
          <cell r="K14">
            <v>100</v>
          </cell>
          <cell r="L14" t="str">
            <v>WWB354V40</v>
          </cell>
          <cell r="M14" t="str">
            <v>WWB354V40</v>
          </cell>
          <cell r="O14">
            <v>35711</v>
          </cell>
          <cell r="P14">
            <v>35711</v>
          </cell>
          <cell r="Q14">
            <v>100</v>
          </cell>
          <cell r="R14" t="str">
            <v>WWB341V40</v>
          </cell>
          <cell r="S14" t="str">
            <v>WWB341V40</v>
          </cell>
          <cell r="U14">
            <v>35711</v>
          </cell>
          <cell r="V14">
            <v>35711</v>
          </cell>
          <cell r="W14">
            <v>50</v>
          </cell>
          <cell r="X14" t="str">
            <v>WWB211V40</v>
          </cell>
          <cell r="Y14" t="str">
            <v>WWB211V40</v>
          </cell>
          <cell r="AA14">
            <v>35711</v>
          </cell>
          <cell r="AB14">
            <v>35711</v>
          </cell>
          <cell r="AC14">
            <v>50</v>
          </cell>
          <cell r="AD14" t="str">
            <v>WWB114V40</v>
          </cell>
          <cell r="AE14" t="str">
            <v>WWB114V40</v>
          </cell>
          <cell r="AG14">
            <v>35711</v>
          </cell>
          <cell r="AH14">
            <v>35711</v>
          </cell>
          <cell r="AI14">
            <v>50</v>
          </cell>
          <cell r="AJ14" t="str">
            <v>WWB113V40</v>
          </cell>
          <cell r="AK14" t="str">
            <v>WWB113V40</v>
          </cell>
          <cell r="AM14">
            <v>35711</v>
          </cell>
          <cell r="AN14">
            <v>35711</v>
          </cell>
          <cell r="AO14">
            <v>50</v>
          </cell>
          <cell r="AP14" t="str">
            <v>WWB111V40</v>
          </cell>
          <cell r="AQ14" t="str">
            <v>WWB111V40</v>
          </cell>
          <cell r="AS14">
            <v>35711</v>
          </cell>
          <cell r="AT14">
            <v>35711</v>
          </cell>
          <cell r="AU14">
            <v>200</v>
          </cell>
          <cell r="AV14" t="str">
            <v>WWB344V40</v>
          </cell>
          <cell r="AW14" t="str">
            <v>WWB344V40</v>
          </cell>
          <cell r="AY14">
            <v>35711</v>
          </cell>
          <cell r="AZ14">
            <v>35711</v>
          </cell>
          <cell r="BA14">
            <v>50</v>
          </cell>
          <cell r="BB14" t="str">
            <v>WWB111H40</v>
          </cell>
          <cell r="BC14" t="str">
            <v>WWB111H40</v>
          </cell>
          <cell r="BE14">
            <v>35711</v>
          </cell>
          <cell r="BF14">
            <v>35711</v>
          </cell>
          <cell r="BG14">
            <v>50</v>
          </cell>
          <cell r="BH14" t="str">
            <v>WWB113H40</v>
          </cell>
          <cell r="BI14" t="str">
            <v>WWB113H40</v>
          </cell>
          <cell r="BK14">
            <v>35711</v>
          </cell>
          <cell r="BL14">
            <v>35711</v>
          </cell>
          <cell r="BM14">
            <v>50</v>
          </cell>
          <cell r="BN14" t="str">
            <v>WWB114H40</v>
          </cell>
          <cell r="BO14" t="str">
            <v>WWB114H40</v>
          </cell>
          <cell r="BQ14">
            <v>35711</v>
          </cell>
        </row>
        <row r="15">
          <cell r="C15" t="str">
            <v>PA</v>
          </cell>
          <cell r="E15">
            <v>35709</v>
          </cell>
          <cell r="F15" t="str">
            <v>W. STOVALL</v>
          </cell>
          <cell r="G15" t="str">
            <v>LB</v>
          </cell>
          <cell r="H15">
            <v>6413</v>
          </cell>
          <cell r="I15" t="str">
            <v>REG. FREIGHT  TRK.</v>
          </cell>
          <cell r="J15" t="str">
            <v>REG. FREIGHT  TRK.</v>
          </cell>
          <cell r="K15">
            <v>50</v>
          </cell>
          <cell r="L15" t="str">
            <v>WWB115H40</v>
          </cell>
          <cell r="M15" t="str">
            <v>WWB115H40</v>
          </cell>
          <cell r="O15">
            <v>35711</v>
          </cell>
          <cell r="P15">
            <v>35711</v>
          </cell>
          <cell r="Q15">
            <v>200</v>
          </cell>
          <cell r="R15" t="str">
            <v>WWB128H40</v>
          </cell>
          <cell r="S15" t="str">
            <v>WWB128H40</v>
          </cell>
          <cell r="U15">
            <v>35711</v>
          </cell>
          <cell r="V15">
            <v>35711</v>
          </cell>
          <cell r="W15">
            <v>50</v>
          </cell>
          <cell r="X15" t="str">
            <v>WWB133H40</v>
          </cell>
          <cell r="Y15" t="str">
            <v>WWB133H40</v>
          </cell>
          <cell r="AA15">
            <v>35711</v>
          </cell>
          <cell r="AB15">
            <v>35711</v>
          </cell>
          <cell r="AC15">
            <v>50</v>
          </cell>
          <cell r="AD15" t="str">
            <v>WWB135H40</v>
          </cell>
          <cell r="AE15" t="str">
            <v>WWB135H40</v>
          </cell>
          <cell r="AG15">
            <v>35711</v>
          </cell>
          <cell r="AH15">
            <v>35711</v>
          </cell>
          <cell r="AI15">
            <v>50</v>
          </cell>
          <cell r="AJ15" t="str">
            <v>WWB132H40</v>
          </cell>
          <cell r="AK15" t="str">
            <v>WWB132H40</v>
          </cell>
          <cell r="AM15">
            <v>35711</v>
          </cell>
          <cell r="AN15">
            <v>35711</v>
          </cell>
          <cell r="AO15">
            <v>50</v>
          </cell>
          <cell r="AP15" t="str">
            <v>WWB139H40</v>
          </cell>
          <cell r="AQ15" t="str">
            <v>WWB139H40</v>
          </cell>
          <cell r="AS15">
            <v>35711</v>
          </cell>
          <cell r="AT15">
            <v>35711</v>
          </cell>
          <cell r="AU15">
            <v>200</v>
          </cell>
          <cell r="AV15" t="str">
            <v>WWB141H40</v>
          </cell>
          <cell r="AW15" t="str">
            <v>WWB141H40</v>
          </cell>
          <cell r="AY15">
            <v>35711</v>
          </cell>
          <cell r="AZ15">
            <v>35711</v>
          </cell>
          <cell r="BA15">
            <v>50</v>
          </cell>
          <cell r="BB15" t="str">
            <v>WWB144H40</v>
          </cell>
          <cell r="BC15" t="str">
            <v>WWB144H40</v>
          </cell>
          <cell r="BE15">
            <v>35711</v>
          </cell>
          <cell r="BF15">
            <v>35711</v>
          </cell>
          <cell r="BG15">
            <v>200</v>
          </cell>
          <cell r="BH15" t="str">
            <v>WWB150H40</v>
          </cell>
          <cell r="BI15" t="str">
            <v>WWB150H40</v>
          </cell>
          <cell r="BK15">
            <v>35711</v>
          </cell>
          <cell r="BL15">
            <v>35711</v>
          </cell>
          <cell r="BM15">
            <v>50</v>
          </cell>
          <cell r="BN15" t="str">
            <v>WWB153H40</v>
          </cell>
          <cell r="BO15" t="str">
            <v>WWB153H40</v>
          </cell>
          <cell r="BQ15">
            <v>35711</v>
          </cell>
        </row>
        <row r="16">
          <cell r="C16" t="str">
            <v>PA</v>
          </cell>
          <cell r="E16">
            <v>35709</v>
          </cell>
          <cell r="F16" t="str">
            <v>W. STOVALL</v>
          </cell>
          <cell r="G16" t="str">
            <v>LB</v>
          </cell>
          <cell r="H16">
            <v>6413</v>
          </cell>
          <cell r="I16" t="str">
            <v>REG. FREIGHT  TRK.</v>
          </cell>
          <cell r="J16" t="str">
            <v>REG. FREIGHT  TRK.</v>
          </cell>
          <cell r="K16">
            <v>200</v>
          </cell>
          <cell r="L16" t="str">
            <v>WWB154H40</v>
          </cell>
          <cell r="M16" t="str">
            <v>WWB154H40</v>
          </cell>
          <cell r="O16">
            <v>35711</v>
          </cell>
          <cell r="P16">
            <v>35711</v>
          </cell>
          <cell r="Q16">
            <v>50</v>
          </cell>
          <cell r="R16" t="str">
            <v>WWB210H40</v>
          </cell>
          <cell r="S16" t="str">
            <v>WWB210H40</v>
          </cell>
          <cell r="U16">
            <v>35711</v>
          </cell>
          <cell r="V16">
            <v>35711</v>
          </cell>
          <cell r="W16">
            <v>50</v>
          </cell>
          <cell r="X16" t="str">
            <v>wwb211h40</v>
          </cell>
          <cell r="Y16" t="str">
            <v>wwb211h40</v>
          </cell>
          <cell r="AA16">
            <v>35711</v>
          </cell>
          <cell r="AB16">
            <v>35711</v>
          </cell>
          <cell r="AC16">
            <v>200</v>
          </cell>
          <cell r="AD16" t="str">
            <v>WWB226H40</v>
          </cell>
          <cell r="AE16" t="str">
            <v>WWB226H40</v>
          </cell>
          <cell r="AG16">
            <v>35711</v>
          </cell>
          <cell r="AH16">
            <v>35711</v>
          </cell>
          <cell r="AI16">
            <v>200</v>
          </cell>
          <cell r="AJ16" t="str">
            <v>WWB227H40</v>
          </cell>
          <cell r="AK16" t="str">
            <v>WWB227H40</v>
          </cell>
          <cell r="AM16">
            <v>35711</v>
          </cell>
          <cell r="AN16">
            <v>35711</v>
          </cell>
          <cell r="AO16">
            <v>100</v>
          </cell>
          <cell r="AP16" t="str">
            <v>WWB228H40</v>
          </cell>
          <cell r="AQ16" t="str">
            <v>WWB228H40</v>
          </cell>
          <cell r="AS16">
            <v>35711</v>
          </cell>
          <cell r="AT16">
            <v>35711</v>
          </cell>
          <cell r="AU16">
            <v>200</v>
          </cell>
          <cell r="AV16" t="str">
            <v>WWB229H40</v>
          </cell>
          <cell r="AW16" t="str">
            <v>WWB229H40</v>
          </cell>
          <cell r="AY16">
            <v>35711</v>
          </cell>
          <cell r="AZ16">
            <v>35711</v>
          </cell>
          <cell r="BA16">
            <v>100</v>
          </cell>
          <cell r="BB16" t="str">
            <v>WWB230H40</v>
          </cell>
          <cell r="BC16" t="str">
            <v>WWB230H40</v>
          </cell>
          <cell r="BE16">
            <v>35711</v>
          </cell>
          <cell r="BF16">
            <v>35711</v>
          </cell>
          <cell r="BG16">
            <v>100</v>
          </cell>
          <cell r="BH16" t="str">
            <v>WWB232H40</v>
          </cell>
          <cell r="BI16" t="str">
            <v>WWB232H40</v>
          </cell>
          <cell r="BK16">
            <v>35711</v>
          </cell>
          <cell r="BL16">
            <v>35711</v>
          </cell>
          <cell r="BM16">
            <v>50</v>
          </cell>
          <cell r="BN16" t="str">
            <v>WWB233H40</v>
          </cell>
          <cell r="BO16" t="str">
            <v>WWB233H40</v>
          </cell>
          <cell r="BQ16">
            <v>35711</v>
          </cell>
        </row>
        <row r="17">
          <cell r="C17" t="str">
            <v>PA</v>
          </cell>
          <cell r="E17">
            <v>35709</v>
          </cell>
          <cell r="F17" t="str">
            <v>W. STOVALL</v>
          </cell>
          <cell r="G17" t="str">
            <v>LB</v>
          </cell>
          <cell r="H17">
            <v>6413</v>
          </cell>
          <cell r="I17" t="str">
            <v>REG. FREIGHT  TRK.</v>
          </cell>
          <cell r="J17" t="str">
            <v>REG. FREIGHT  TRK.</v>
          </cell>
          <cell r="K17">
            <v>300</v>
          </cell>
          <cell r="L17" t="str">
            <v>WWB234H40</v>
          </cell>
          <cell r="M17" t="str">
            <v>WWB234H40</v>
          </cell>
          <cell r="O17">
            <v>35711</v>
          </cell>
          <cell r="P17">
            <v>35711</v>
          </cell>
          <cell r="Q17">
            <v>50</v>
          </cell>
          <cell r="R17" t="str">
            <v>WWB235H40</v>
          </cell>
          <cell r="S17" t="str">
            <v>WWB235H40</v>
          </cell>
          <cell r="U17">
            <v>35711</v>
          </cell>
          <cell r="V17">
            <v>35711</v>
          </cell>
          <cell r="W17">
            <v>100</v>
          </cell>
          <cell r="X17" t="str">
            <v>WWB238H40</v>
          </cell>
          <cell r="Y17" t="str">
            <v>WWB238H40</v>
          </cell>
          <cell r="AA17">
            <v>35711</v>
          </cell>
          <cell r="AB17">
            <v>35711</v>
          </cell>
          <cell r="AC17">
            <v>200</v>
          </cell>
          <cell r="AD17" t="str">
            <v>WWB240H40</v>
          </cell>
          <cell r="AE17" t="str">
            <v>WWB240H40</v>
          </cell>
          <cell r="AG17">
            <v>35711</v>
          </cell>
          <cell r="AH17">
            <v>35711</v>
          </cell>
          <cell r="AI17">
            <v>100</v>
          </cell>
          <cell r="AJ17" t="str">
            <v>WWB337H40</v>
          </cell>
          <cell r="AK17" t="str">
            <v>WWB337H40</v>
          </cell>
          <cell r="AM17">
            <v>35711</v>
          </cell>
          <cell r="AN17">
            <v>35711</v>
          </cell>
          <cell r="AO17">
            <v>100</v>
          </cell>
          <cell r="AP17" t="str">
            <v>WWB335H40</v>
          </cell>
          <cell r="AQ17" t="str">
            <v>WWB335H40</v>
          </cell>
          <cell r="AS17">
            <v>35711</v>
          </cell>
          <cell r="AT17">
            <v>35711</v>
          </cell>
          <cell r="AU17">
            <v>200</v>
          </cell>
          <cell r="AV17" t="str">
            <v>WWB334H40</v>
          </cell>
          <cell r="AW17" t="str">
            <v>WWB334H40</v>
          </cell>
          <cell r="AY17">
            <v>35711</v>
          </cell>
          <cell r="AZ17">
            <v>35711</v>
          </cell>
          <cell r="BA17">
            <v>100</v>
          </cell>
          <cell r="BB17" t="str">
            <v>WWB325H40</v>
          </cell>
          <cell r="BC17" t="str">
            <v>WWB325H40</v>
          </cell>
          <cell r="BE17">
            <v>35711</v>
          </cell>
          <cell r="BF17">
            <v>35711</v>
          </cell>
          <cell r="BG17">
            <v>100</v>
          </cell>
          <cell r="BH17" t="str">
            <v>WWB248H40</v>
          </cell>
          <cell r="BI17" t="str">
            <v>WWB248H40</v>
          </cell>
          <cell r="BK17">
            <v>35711</v>
          </cell>
          <cell r="BL17">
            <v>35711</v>
          </cell>
          <cell r="BM17">
            <v>100</v>
          </cell>
          <cell r="BN17" t="str">
            <v>WWB247H40</v>
          </cell>
          <cell r="BO17" t="str">
            <v>WWB247H40</v>
          </cell>
          <cell r="BQ17">
            <v>35711</v>
          </cell>
        </row>
        <row r="18">
          <cell r="C18" t="str">
            <v>PA</v>
          </cell>
          <cell r="E18">
            <v>35709</v>
          </cell>
          <cell r="F18" t="str">
            <v>W. STOVALL</v>
          </cell>
          <cell r="G18" t="str">
            <v>LB</v>
          </cell>
          <cell r="H18">
            <v>6413</v>
          </cell>
          <cell r="I18" t="str">
            <v>REG. FREIGHT  TRK.</v>
          </cell>
          <cell r="J18" t="str">
            <v>REG. FREIGHT  TRK.</v>
          </cell>
          <cell r="K18">
            <v>100</v>
          </cell>
          <cell r="L18" t="str">
            <v>WWB246H40</v>
          </cell>
          <cell r="M18" t="str">
            <v>WWB246H40</v>
          </cell>
          <cell r="O18">
            <v>35711</v>
          </cell>
          <cell r="P18">
            <v>35711</v>
          </cell>
          <cell r="Q18">
            <v>100</v>
          </cell>
          <cell r="R18" t="str">
            <v>WWB243H40</v>
          </cell>
          <cell r="S18" t="str">
            <v>WWB243H40</v>
          </cell>
          <cell r="U18">
            <v>35711</v>
          </cell>
          <cell r="V18">
            <v>35711</v>
          </cell>
          <cell r="W18">
            <v>100</v>
          </cell>
          <cell r="X18" t="str">
            <v>WWB244H40</v>
          </cell>
          <cell r="Y18" t="str">
            <v>WWB244H40</v>
          </cell>
          <cell r="AA18">
            <v>35711</v>
          </cell>
          <cell r="AB18">
            <v>35711</v>
          </cell>
          <cell r="AC18">
            <v>200</v>
          </cell>
          <cell r="AD18" t="str">
            <v>WWB141V40</v>
          </cell>
          <cell r="AE18" t="str">
            <v>WWB141V40</v>
          </cell>
          <cell r="AG18">
            <v>35711</v>
          </cell>
          <cell r="AH18">
            <v>35711</v>
          </cell>
          <cell r="AI18">
            <v>60</v>
          </cell>
          <cell r="AJ18" t="str">
            <v>02-00590-03</v>
          </cell>
          <cell r="AK18" t="str">
            <v>02-00590-03</v>
          </cell>
          <cell r="AM18">
            <v>35711</v>
          </cell>
          <cell r="AN18">
            <v>35711</v>
          </cell>
          <cell r="AO18">
            <v>20</v>
          </cell>
          <cell r="AP18" t="str">
            <v>02-72534-00</v>
          </cell>
          <cell r="AQ18" t="str">
            <v>02-72534-00</v>
          </cell>
          <cell r="AS18">
            <v>35711</v>
          </cell>
          <cell r="AT18">
            <v>35711</v>
          </cell>
          <cell r="AU18">
            <v>10</v>
          </cell>
          <cell r="AV18" t="str">
            <v>02-72220-00</v>
          </cell>
          <cell r="AW18" t="str">
            <v>02-72220-00</v>
          </cell>
          <cell r="AY18">
            <v>35711</v>
          </cell>
          <cell r="AZ18">
            <v>35711</v>
          </cell>
          <cell r="BA18">
            <v>20</v>
          </cell>
          <cell r="BB18" t="str">
            <v>02-73864-00</v>
          </cell>
          <cell r="BC18" t="str">
            <v>02-73864-00</v>
          </cell>
          <cell r="BE18">
            <v>35711</v>
          </cell>
          <cell r="BF18">
            <v>35711</v>
          </cell>
          <cell r="BG18">
            <v>17</v>
          </cell>
          <cell r="BH18" t="str">
            <v>02-73556-00</v>
          </cell>
          <cell r="BI18" t="str">
            <v>02-73556-00</v>
          </cell>
          <cell r="BK18">
            <v>35711</v>
          </cell>
          <cell r="BL18">
            <v>35711</v>
          </cell>
          <cell r="BM18">
            <v>200</v>
          </cell>
          <cell r="BN18" t="str">
            <v>WWG518080</v>
          </cell>
          <cell r="BO18" t="str">
            <v>WWG518080</v>
          </cell>
          <cell r="BQ18">
            <v>35711</v>
          </cell>
        </row>
        <row r="19">
          <cell r="C19" t="str">
            <v>PA</v>
          </cell>
          <cell r="E19">
            <v>35709</v>
          </cell>
          <cell r="F19" t="str">
            <v>W. STOVALL</v>
          </cell>
          <cell r="G19" t="str">
            <v>LB</v>
          </cell>
          <cell r="H19">
            <v>6413</v>
          </cell>
          <cell r="I19" t="str">
            <v>REG. FREIGHT  TRK.</v>
          </cell>
          <cell r="J19" t="str">
            <v>REG. FREIGHT  TRK.</v>
          </cell>
          <cell r="K19">
            <v>200</v>
          </cell>
          <cell r="L19" t="str">
            <v>WWG51HOMO</v>
          </cell>
          <cell r="M19" t="str">
            <v>WWG51HOMO</v>
          </cell>
          <cell r="O19">
            <v>35711</v>
          </cell>
          <cell r="P19">
            <v>35711</v>
          </cell>
          <cell r="Q19">
            <v>200</v>
          </cell>
          <cell r="R19" t="str">
            <v>WWG51DO85</v>
          </cell>
          <cell r="S19" t="str">
            <v>WWG51DO85</v>
          </cell>
          <cell r="U19">
            <v>35711</v>
          </cell>
          <cell r="V19">
            <v>35711</v>
          </cell>
          <cell r="W19">
            <v>200</v>
          </cell>
          <cell r="X19" t="str">
            <v>WWG651HOD5</v>
          </cell>
          <cell r="Y19" t="str">
            <v>WWG651HOD5</v>
          </cell>
          <cell r="AA19">
            <v>35711</v>
          </cell>
          <cell r="AB19">
            <v>35711</v>
          </cell>
          <cell r="AC19">
            <v>200</v>
          </cell>
          <cell r="AD19" t="str">
            <v>WWG5110W0</v>
          </cell>
          <cell r="AE19" t="str">
            <v>WWG5110W0</v>
          </cell>
          <cell r="AG19">
            <v>35711</v>
          </cell>
          <cell r="AH19">
            <v>35711</v>
          </cell>
          <cell r="AI19">
            <v>200</v>
          </cell>
          <cell r="AJ19" t="str">
            <v>WWGE16328</v>
          </cell>
          <cell r="AK19" t="str">
            <v>WWGE16328</v>
          </cell>
          <cell r="AM19">
            <v>35711</v>
          </cell>
          <cell r="AN19">
            <v>35711</v>
          </cell>
          <cell r="AO19">
            <v>200</v>
          </cell>
          <cell r="AP19" t="str">
            <v>WWGE1BOBB</v>
          </cell>
          <cell r="AQ19" t="str">
            <v>WWGE1BOBB</v>
          </cell>
          <cell r="AS19">
            <v>35711</v>
          </cell>
          <cell r="AT19">
            <v>35711</v>
          </cell>
          <cell r="AU19">
            <v>200</v>
          </cell>
          <cell r="AV19" t="str">
            <v>WWGE1BOMB</v>
          </cell>
          <cell r="AW19" t="str">
            <v>WWGE1BOMB</v>
          </cell>
          <cell r="AY19">
            <v>35711</v>
          </cell>
          <cell r="AZ19">
            <v>35711</v>
          </cell>
          <cell r="BA19">
            <v>200</v>
          </cell>
          <cell r="BB19" t="str">
            <v>WWG508040</v>
          </cell>
          <cell r="BC19" t="str">
            <v>WWG508040</v>
          </cell>
          <cell r="BE19">
            <v>35711</v>
          </cell>
          <cell r="BF19">
            <v>35711</v>
          </cell>
          <cell r="BG19">
            <v>200</v>
          </cell>
          <cell r="BH19" t="str">
            <v>WWGE1BOHR</v>
          </cell>
          <cell r="BI19" t="str">
            <v>WWGE1BOHR</v>
          </cell>
          <cell r="BK19">
            <v>35711</v>
          </cell>
          <cell r="BL19">
            <v>35711</v>
          </cell>
          <cell r="BM19">
            <v>200</v>
          </cell>
          <cell r="BN19" t="str">
            <v>WWGE180HR</v>
          </cell>
          <cell r="BO19" t="str">
            <v>WWGE180HR</v>
          </cell>
          <cell r="BQ19">
            <v>35711</v>
          </cell>
        </row>
        <row r="20">
          <cell r="C20" t="str">
            <v>PA</v>
          </cell>
          <cell r="E20">
            <v>35709</v>
          </cell>
          <cell r="F20" t="str">
            <v>W. STOVALL</v>
          </cell>
          <cell r="G20" t="str">
            <v>LB</v>
          </cell>
          <cell r="H20">
            <v>6413</v>
          </cell>
          <cell r="I20" t="str">
            <v>REG. FREIGHT  TRK.</v>
          </cell>
          <cell r="J20" t="str">
            <v>REG. FREIGHT  TRK.</v>
          </cell>
          <cell r="K20">
            <v>200</v>
          </cell>
          <cell r="L20" t="str">
            <v>WWGE180DR</v>
          </cell>
          <cell r="M20" t="str">
            <v>WWGE180DR</v>
          </cell>
          <cell r="O20">
            <v>35711</v>
          </cell>
          <cell r="P20">
            <v>35711</v>
          </cell>
          <cell r="Q20">
            <v>200</v>
          </cell>
          <cell r="R20" t="str">
            <v>WWGE180BR</v>
          </cell>
          <cell r="S20" t="str">
            <v>WWGE180BR</v>
          </cell>
          <cell r="U20">
            <v>35711</v>
          </cell>
          <cell r="V20">
            <v>35711</v>
          </cell>
          <cell r="W20">
            <v>200</v>
          </cell>
          <cell r="X20" t="str">
            <v>WWGE1809R</v>
          </cell>
          <cell r="Y20" t="str">
            <v>WWGE1809R</v>
          </cell>
          <cell r="AA20">
            <v>35711</v>
          </cell>
          <cell r="AB20">
            <v>35711</v>
          </cell>
          <cell r="AC20">
            <v>200</v>
          </cell>
          <cell r="AD20" t="str">
            <v>WWGE18095</v>
          </cell>
          <cell r="AE20" t="str">
            <v>WWGE18095</v>
          </cell>
          <cell r="AG20">
            <v>35711</v>
          </cell>
          <cell r="AH20">
            <v>35711</v>
          </cell>
          <cell r="AI20">
            <v>200</v>
          </cell>
          <cell r="AJ20" t="str">
            <v>WWGEOBO60</v>
          </cell>
          <cell r="AK20" t="str">
            <v>WWGEOBO60</v>
          </cell>
          <cell r="AM20">
            <v>35711</v>
          </cell>
          <cell r="AN20">
            <v>35711</v>
          </cell>
          <cell r="AO20">
            <v>200</v>
          </cell>
          <cell r="AP20" t="str">
            <v>WWG6OBO80</v>
          </cell>
          <cell r="AQ20" t="str">
            <v>WWG6OBO80</v>
          </cell>
          <cell r="AS20">
            <v>35711</v>
          </cell>
          <cell r="AT20">
            <v>35711</v>
          </cell>
          <cell r="AU20">
            <v>200</v>
          </cell>
          <cell r="AV20" t="str">
            <v>WWG51BOBO</v>
          </cell>
          <cell r="AW20" t="str">
            <v>WWG51BOBO</v>
          </cell>
          <cell r="AY20">
            <v>35711</v>
          </cell>
          <cell r="AZ20">
            <v>35711</v>
          </cell>
          <cell r="BA20">
            <v>200</v>
          </cell>
          <cell r="BB20" t="str">
            <v>WWG51BODO</v>
          </cell>
          <cell r="BC20" t="str">
            <v>WWG51BODO</v>
          </cell>
          <cell r="BE20">
            <v>35711</v>
          </cell>
          <cell r="BF20">
            <v>35711</v>
          </cell>
          <cell r="BG20">
            <v>200</v>
          </cell>
          <cell r="BH20" t="str">
            <v>WWG51BOHO</v>
          </cell>
          <cell r="BI20" t="str">
            <v>WWG51BOHO</v>
          </cell>
          <cell r="BK20">
            <v>35711</v>
          </cell>
          <cell r="BL20">
            <v>35711</v>
          </cell>
          <cell r="BM20">
            <v>200</v>
          </cell>
          <cell r="BN20" t="str">
            <v>01-30388-00</v>
          </cell>
          <cell r="BO20" t="str">
            <v>01-30388-00</v>
          </cell>
          <cell r="BQ20">
            <v>35711</v>
          </cell>
        </row>
        <row r="21">
          <cell r="C21" t="str">
            <v>PA</v>
          </cell>
          <cell r="E21">
            <v>35709</v>
          </cell>
          <cell r="F21" t="str">
            <v>W. STOVALL</v>
          </cell>
          <cell r="G21" t="str">
            <v>LB</v>
          </cell>
          <cell r="H21">
            <v>6413</v>
          </cell>
          <cell r="I21" t="str">
            <v>REG. FREIGHT  TRK.</v>
          </cell>
          <cell r="J21" t="str">
            <v>REG. FREIGHT  TRK.</v>
          </cell>
          <cell r="K21">
            <v>25</v>
          </cell>
          <cell r="L21" t="str">
            <v>WWB019H40</v>
          </cell>
          <cell r="M21" t="str">
            <v>WWB019H40</v>
          </cell>
          <cell r="O21">
            <v>35711</v>
          </cell>
          <cell r="P21">
            <v>35711</v>
          </cell>
          <cell r="Q21">
            <v>25</v>
          </cell>
          <cell r="R21" t="str">
            <v>WWB116H40</v>
          </cell>
          <cell r="S21" t="str">
            <v>WWB116H40</v>
          </cell>
          <cell r="U21">
            <v>35711</v>
          </cell>
          <cell r="V21">
            <v>35711</v>
          </cell>
          <cell r="W21">
            <v>25</v>
          </cell>
          <cell r="X21" t="str">
            <v>WWB121H40</v>
          </cell>
          <cell r="Y21" t="str">
            <v>WWB121H40</v>
          </cell>
          <cell r="AA21">
            <v>35711</v>
          </cell>
          <cell r="AB21">
            <v>35711</v>
          </cell>
          <cell r="AC21">
            <v>25</v>
          </cell>
          <cell r="AD21" t="str">
            <v>WWB018H40</v>
          </cell>
          <cell r="AE21" t="str">
            <v>WWB018H40</v>
          </cell>
          <cell r="AG21">
            <v>35711</v>
          </cell>
          <cell r="AH21">
            <v>35711</v>
          </cell>
          <cell r="AI21">
            <v>25</v>
          </cell>
          <cell r="AJ21" t="str">
            <v>WWB014H40</v>
          </cell>
          <cell r="AK21" t="str">
            <v>WWB014H40</v>
          </cell>
          <cell r="AM21">
            <v>35711</v>
          </cell>
          <cell r="AN21">
            <v>35711</v>
          </cell>
          <cell r="AO21">
            <v>25</v>
          </cell>
          <cell r="AP21" t="str">
            <v>WWB110H40</v>
          </cell>
          <cell r="AQ21" t="str">
            <v>WWB110H40</v>
          </cell>
          <cell r="AS21">
            <v>35711</v>
          </cell>
          <cell r="AT21">
            <v>35711</v>
          </cell>
          <cell r="AU21">
            <v>25</v>
          </cell>
          <cell r="AV21" t="str">
            <v>WWB011H40</v>
          </cell>
          <cell r="AW21" t="str">
            <v>WWB011H40</v>
          </cell>
          <cell r="AY21">
            <v>35711</v>
          </cell>
          <cell r="AZ21">
            <v>35711</v>
          </cell>
          <cell r="BA21">
            <v>6</v>
          </cell>
          <cell r="BB21" t="str">
            <v>02-71779-00</v>
          </cell>
          <cell r="BC21" t="str">
            <v>02-71779-00</v>
          </cell>
          <cell r="BE21">
            <v>35711</v>
          </cell>
          <cell r="BF21">
            <v>35711</v>
          </cell>
          <cell r="BG21">
            <v>15</v>
          </cell>
          <cell r="BH21" t="str">
            <v>01-80610-00</v>
          </cell>
          <cell r="BI21" t="str">
            <v>01-80610-00</v>
          </cell>
          <cell r="BK21">
            <v>35711</v>
          </cell>
          <cell r="BL21">
            <v>35711</v>
          </cell>
          <cell r="BM21">
            <v>6</v>
          </cell>
          <cell r="BN21" t="str">
            <v>02-74224-00</v>
          </cell>
          <cell r="BO21" t="str">
            <v>02-74224-00</v>
          </cell>
          <cell r="BQ21">
            <v>35711</v>
          </cell>
        </row>
        <row r="22">
          <cell r="C22" t="str">
            <v>PA</v>
          </cell>
          <cell r="E22">
            <v>35709</v>
          </cell>
          <cell r="F22" t="str">
            <v>W. STOVALL</v>
          </cell>
          <cell r="G22" t="str">
            <v>LB</v>
          </cell>
          <cell r="H22">
            <v>6413</v>
          </cell>
          <cell r="I22" t="str">
            <v>REG. FREIGHT  TRK.</v>
          </cell>
          <cell r="J22" t="str">
            <v>REG. FREIGHT  TRK.</v>
          </cell>
          <cell r="K22">
            <v>6</v>
          </cell>
          <cell r="L22" t="str">
            <v>02-71778-00</v>
          </cell>
          <cell r="M22" t="str">
            <v>02-71778-00</v>
          </cell>
          <cell r="O22">
            <v>35711</v>
          </cell>
          <cell r="P22">
            <v>35711</v>
          </cell>
          <cell r="Q22">
            <v>2</v>
          </cell>
          <cell r="R22" t="str">
            <v>02-88811-00</v>
          </cell>
          <cell r="S22" t="str">
            <v>02-88811-00</v>
          </cell>
          <cell r="U22">
            <v>35711</v>
          </cell>
          <cell r="V22">
            <v>35711</v>
          </cell>
          <cell r="W22">
            <v>200</v>
          </cell>
          <cell r="X22" t="str">
            <v>WWG518040</v>
          </cell>
          <cell r="Y22" t="str">
            <v>WWG518040</v>
          </cell>
          <cell r="AA22">
            <v>35711</v>
          </cell>
          <cell r="AB22">
            <v>35711</v>
          </cell>
          <cell r="AC22">
            <v>6</v>
          </cell>
          <cell r="AD22" t="str">
            <v>02-71785-00</v>
          </cell>
          <cell r="AE22" t="str">
            <v>02-71785-00</v>
          </cell>
          <cell r="AG22">
            <v>35711</v>
          </cell>
          <cell r="AH22">
            <v>35711</v>
          </cell>
          <cell r="AI22">
            <v>10</v>
          </cell>
          <cell r="AJ22" t="str">
            <v>02-25386-00</v>
          </cell>
          <cell r="AK22" t="str">
            <v>02-25386-00</v>
          </cell>
          <cell r="AM22">
            <v>35711</v>
          </cell>
          <cell r="AN22">
            <v>35711</v>
          </cell>
          <cell r="AO22">
            <v>10</v>
          </cell>
          <cell r="AP22" t="str">
            <v>01-25393-00</v>
          </cell>
          <cell r="AQ22" t="str">
            <v>01-25393-00</v>
          </cell>
          <cell r="AS22">
            <v>35711</v>
          </cell>
          <cell r="AT22">
            <v>35711</v>
          </cell>
          <cell r="AU22">
            <v>100</v>
          </cell>
          <cell r="AV22" t="str">
            <v>01-34152-00</v>
          </cell>
          <cell r="AW22" t="str">
            <v>01-34152-00</v>
          </cell>
          <cell r="AY22">
            <v>35711</v>
          </cell>
          <cell r="AZ22">
            <v>35711</v>
          </cell>
          <cell r="BA22">
            <v>10</v>
          </cell>
          <cell r="BB22" t="str">
            <v>01-32291-00</v>
          </cell>
          <cell r="BC22" t="str">
            <v>01-32291-00</v>
          </cell>
          <cell r="BE22">
            <v>35711</v>
          </cell>
          <cell r="BF22">
            <v>35711</v>
          </cell>
          <cell r="BG22">
            <v>10</v>
          </cell>
          <cell r="BH22" t="str">
            <v>01-25387-00</v>
          </cell>
          <cell r="BI22" t="str">
            <v>01-25387-00</v>
          </cell>
          <cell r="BK22">
            <v>35711</v>
          </cell>
          <cell r="BL22">
            <v>35711</v>
          </cell>
          <cell r="BM22">
            <v>10</v>
          </cell>
          <cell r="BN22" t="str">
            <v>01-25394-00</v>
          </cell>
          <cell r="BO22" t="str">
            <v>01-25394-00</v>
          </cell>
          <cell r="BQ22">
            <v>35711</v>
          </cell>
        </row>
        <row r="23">
          <cell r="C23" t="str">
            <v>PA</v>
          </cell>
          <cell r="E23">
            <v>35709</v>
          </cell>
          <cell r="F23" t="str">
            <v>W. STOVALL</v>
          </cell>
          <cell r="G23" t="str">
            <v>LB</v>
          </cell>
          <cell r="H23">
            <v>6413</v>
          </cell>
          <cell r="I23" t="str">
            <v>REG. FREIGHT  TRK.</v>
          </cell>
          <cell r="J23" t="str">
            <v>REG. FREIGHT  TRK.</v>
          </cell>
          <cell r="K23">
            <v>1</v>
          </cell>
          <cell r="L23" t="str">
            <v>02-73348-00</v>
          </cell>
          <cell r="M23" t="str">
            <v>02-73348-00</v>
          </cell>
          <cell r="O23">
            <v>35711</v>
          </cell>
          <cell r="P23">
            <v>35711</v>
          </cell>
          <cell r="Q23">
            <v>1</v>
          </cell>
          <cell r="R23" t="str">
            <v>02-73347-00</v>
          </cell>
          <cell r="S23" t="str">
            <v>02-73347-00</v>
          </cell>
          <cell r="U23">
            <v>35711</v>
          </cell>
          <cell r="V23">
            <v>35711</v>
          </cell>
          <cell r="W23">
            <v>1</v>
          </cell>
          <cell r="X23" t="str">
            <v>02-73303-00</v>
          </cell>
          <cell r="Y23" t="str">
            <v>02-73303-00</v>
          </cell>
        </row>
        <row r="24">
          <cell r="C24" t="str">
            <v>PA</v>
          </cell>
          <cell r="E24">
            <v>35711</v>
          </cell>
          <cell r="F24" t="str">
            <v>R. PRASAD</v>
          </cell>
          <cell r="G24" t="str">
            <v>LB</v>
          </cell>
          <cell r="H24">
            <v>6413</v>
          </cell>
          <cell r="I24" t="str">
            <v>AMOCO PARLANGE 8 - SEAL ASSY.  (PKR HERE, SBE'S &amp; CONC COUP ON ORDER DR 970003-P, RO 145675 FOR 11/4/97 DELIVERY)</v>
          </cell>
          <cell r="J24" t="str">
            <v>AMOCO PARLANGE 8 - SEAL ASSY.  (PKR HERE, SBE'S &amp; CONC COUP ON ORDER DR 970003-P, RO 145675 FOR 11/4/97 DELIVERY)</v>
          </cell>
          <cell r="K24">
            <v>1</v>
          </cell>
          <cell r="L24" t="str">
            <v>446-03-30XX</v>
          </cell>
          <cell r="M24" t="str">
            <v>80-32 'L-36S' LTSA W/ 2 7/8 7.7# FOX 'K' BOX UP X 1/2 MULESHOE, 31' LONG</v>
          </cell>
          <cell r="N24" t="str">
            <v>446-03</v>
          </cell>
          <cell r="O24">
            <v>35738</v>
          </cell>
          <cell r="P24">
            <v>35738</v>
          </cell>
          <cell r="Q24">
            <v>4</v>
          </cell>
          <cell r="R24" t="str">
            <v>02-79244-00</v>
          </cell>
          <cell r="S24" t="str">
            <v>80-32 CRUSH RING</v>
          </cell>
          <cell r="T24" t="str">
            <v>80-32 CRUSH RING</v>
          </cell>
          <cell r="U24">
            <v>35738</v>
          </cell>
          <cell r="V24">
            <v>35738</v>
          </cell>
          <cell r="W24">
            <v>1</v>
          </cell>
          <cell r="X24" t="str">
            <v>02-86215-XX</v>
          </cell>
          <cell r="Y24" t="str">
            <v>80-32 CONCENTRIC COUPLING; IF USING INC 718, 02-86215-QA.  MATERIAL MUST MATCH MATERIAL USED FOR SBE'S ON RO 145675 (DR  970003-PA)</v>
          </cell>
          <cell r="Z24" t="str">
            <v>80-32 CONCENTRIC COUPLING; IF USING INC 718, 02-86215-QA.  MATERIAL MUST MATCH MATERIAL USED FOR SBE'S ON RO 145675 (DR  970003-PA)</v>
          </cell>
          <cell r="AA24">
            <v>35738</v>
          </cell>
          <cell r="AB24">
            <v>35738</v>
          </cell>
          <cell r="AC24">
            <v>1</v>
          </cell>
          <cell r="AD24" t="str">
            <v>0272293QL</v>
          </cell>
          <cell r="AE24" t="str">
            <v>LOCATOR SUB 2 7/8 7.7# FOX 'K' BOX X 2 7/8 7.8# VAM AG BOX USING INC 718 MATERIAL BMS N201 (THIS ITEM TO REPLACE THE ONE WE SOLD ON ORDER 301268 FOR 20' RENTAL SEALS THAT WERE NOT RUN)</v>
          </cell>
          <cell r="AF24" t="str">
            <v>LOCATOR SUB 2 7/8 7.7# FOX 'K' BOX X 2 7/8 7.8# VAM AG BOX USING INC 718 MATERIAL BMS N201 (THIS ITEM TO REPLACE THE ONE WE SOLD ON ORDER 301268 FOR 20' RENTAL SEALS THAT WERE NOT RUN)</v>
          </cell>
          <cell r="AG24">
            <v>35719</v>
          </cell>
          <cell r="AH24">
            <v>35719</v>
          </cell>
        </row>
        <row r="25">
          <cell r="C25" t="str">
            <v>P</v>
          </cell>
          <cell r="E25">
            <v>35711</v>
          </cell>
          <cell r="F25" t="str">
            <v>R PRASAD F/ D MCDONALD</v>
          </cell>
          <cell r="G25" t="str">
            <v>LB</v>
          </cell>
          <cell r="H25">
            <v>6413</v>
          </cell>
          <cell r="I25" t="str">
            <v>FOR UPCOMING CHESAPEAKE WORK F/ OPS COORDINATOR D MCDONALD</v>
          </cell>
          <cell r="J25" t="str">
            <v>FOR UPCOMING CHESAPEAKE WORK F/ OPS COORDINATOR D MCDONALD</v>
          </cell>
          <cell r="K25">
            <v>4</v>
          </cell>
          <cell r="L25" t="str">
            <v>424-03-4840</v>
          </cell>
          <cell r="M25" t="str">
            <v xml:space="preserve">88-32 7" 17-20# OR 7-5/8" 33.7-39# BPS-D103 (HP900) PACKING ELEMENT 90 HD NITRILE PE   </v>
          </cell>
          <cell r="N25" t="str">
            <v>424-03</v>
          </cell>
          <cell r="O25" t="str">
            <v>10/29/97; BUDDY MOVED TO TWO WKS SINCE WE HAVE 6 ON ORDER</v>
          </cell>
          <cell r="P25">
            <v>35793</v>
          </cell>
          <cell r="Q25">
            <v>35793</v>
          </cell>
        </row>
        <row r="26">
          <cell r="C26" t="str">
            <v>P</v>
          </cell>
          <cell r="E26">
            <v>35713</v>
          </cell>
          <cell r="F26" t="str">
            <v>OLIVER RUDESILL</v>
          </cell>
          <cell r="G26" t="str">
            <v>LB</v>
          </cell>
          <cell r="H26">
            <v>6413</v>
          </cell>
          <cell r="I26" t="str">
            <v>MCMORAN JA-3A OCS-G-3128 VERMILION 160</v>
          </cell>
          <cell r="J26" t="str">
            <v>MCMORAN JA-3A OCS-G-3128 VERMILION 160</v>
          </cell>
        </row>
        <row r="27">
          <cell r="C27" t="str">
            <v>PA</v>
          </cell>
          <cell r="E27">
            <v>35713</v>
          </cell>
          <cell r="F27" t="str">
            <v>R PRASAD</v>
          </cell>
          <cell r="G27" t="str">
            <v>LB</v>
          </cell>
          <cell r="H27">
            <v>6413</v>
          </cell>
          <cell r="I27" t="str">
            <v>GBH-22S LTSA FOR SPIRIT ENERGY 76 FOR NATHAN JOHNSON, BOT SALES; REF DR 970002-PA (LTSA SPECS HAVE CHANGED PER N JOHNSON 10/10/97)</v>
          </cell>
          <cell r="J27" t="str">
            <v>GBH-22S LTSA FOR SPIRIT ENERGY 76 FOR NATHAN JOHNSON, BOT SALES; REF DR 970002-PA (LTSA SPECS HAVE CHANGED PER N JOHNSON 10/10/97)</v>
          </cell>
          <cell r="K27">
            <v>1</v>
          </cell>
          <cell r="L27" t="str">
            <v>450-XX-XXXX</v>
          </cell>
          <cell r="M27" t="str">
            <v>80-40 GBH-22S LTSA w/ 3 1/2" 9.2# FOX 'K' Box thds up x 10' seal assy x 1/2 mule shoe using 13 CR material per BMS S210; order of seals: 1 locator sub w/ bonded seals, 1 bonded seal unit, 4' 80-40 spacer tube, 4 bonded seal units, 1/2 m.s.</v>
          </cell>
          <cell r="N27" t="str">
            <v>450-XX</v>
          </cell>
          <cell r="O27">
            <v>35723</v>
          </cell>
          <cell r="P27">
            <v>35723</v>
          </cell>
        </row>
        <row r="28">
          <cell r="C28" t="str">
            <v>PA</v>
          </cell>
          <cell r="E28">
            <v>35713</v>
          </cell>
          <cell r="F28" t="str">
            <v>Rishma Prasad</v>
          </cell>
          <cell r="G28" t="str">
            <v>LB</v>
          </cell>
          <cell r="H28">
            <v>6413</v>
          </cell>
          <cell r="I28" t="str">
            <v>S-22 ATSA 190-60 W/ 5 1/2 8RD LG BOX X 1/2 MS (WE WILL BUILD XO BACK TO 4 1/2 12.75# EU 8RD BOX TO MU TO TBG; WE WILL GET MOLDED SEALS FROM ET &amp; ORINGS FROM HERE); REF RO147543 (5 PARTS &amp; 1 ORING) BY KAREN, CUST SVC, NAVIG 10/10/97</v>
          </cell>
          <cell r="J28" t="str">
            <v>S-22 ATSA 190-60 W/ 5 1/2 8RD LG BOX X 1/2 MS (WE WILL BUILD XO BACK TO 4 1/2 12.75# EU 8RD BOX TO MU TO TBG; WE WILL GET MOLDED SEALS FROM ET &amp; ORINGS FROM HERE); REF RO147543 (5 PARTS &amp; 1 ORING) BY KAREN, CUST SVC, NAVIG 10/10/97</v>
          </cell>
          <cell r="K28">
            <v>1</v>
          </cell>
          <cell r="L28">
            <v>444519207</v>
          </cell>
          <cell r="M28" t="str">
            <v xml:space="preserve">S-22 ATSA 190-60 5 1/2 8RD LG BOX X 1/2 MS 90 HD BONDED SEALS - </v>
          </cell>
          <cell r="N28" t="str">
            <v>444-51</v>
          </cell>
          <cell r="O28">
            <v>35714</v>
          </cell>
          <cell r="P28">
            <v>35714</v>
          </cell>
        </row>
        <row r="29">
          <cell r="C29" t="str">
            <v>P</v>
          </cell>
          <cell r="E29">
            <v>35714</v>
          </cell>
          <cell r="F29" t="str">
            <v>Rishma Prasad</v>
          </cell>
          <cell r="G29">
            <v>1</v>
          </cell>
          <cell r="H29">
            <v>6413</v>
          </cell>
          <cell r="I29" t="str">
            <v>PIONEER NATURAL RESOURCES - POINT COUPEE - JEWELL #1; NEED PACKING ELEMENT SINCE ONE WE HAVE IS NOW DAMAGED; PLEASE ENSURE THIS PART ARRIVES BY MONDAY 10/13/97</v>
          </cell>
          <cell r="J29" t="str">
            <v>PIONEER NATURAL RESOURCES - POINT COUPEE - JEWELL #1; NEED PACKING ELEMENT SINCE ONE WE HAVE IS NOW DAMAGED; PLEASE ENSURE THIS PART ARRIVES BY MONDAY 10/13/97</v>
          </cell>
          <cell r="K29">
            <v>1</v>
          </cell>
          <cell r="L29" t="str">
            <v>02-43495-01</v>
          </cell>
          <cell r="M29" t="str">
            <v xml:space="preserve"> 21-25 PACKING ELEMENT</v>
          </cell>
          <cell r="N29" t="str">
            <v xml:space="preserve"> 21-25 PACKING ELEMENT</v>
          </cell>
          <cell r="O29">
            <v>35716</v>
          </cell>
          <cell r="P29">
            <v>35716</v>
          </cell>
        </row>
        <row r="30">
          <cell r="C30" t="str">
            <v>TT</v>
          </cell>
          <cell r="E30">
            <v>35716</v>
          </cell>
          <cell r="F30" t="str">
            <v>BENNY VINCENT</v>
          </cell>
          <cell r="G30" t="str">
            <v>LB</v>
          </cell>
          <cell r="H30">
            <v>6413</v>
          </cell>
          <cell r="I30" t="str">
            <v>PLEASE FEDEX OVERNIGHT PRIORITY PLEASE SHIP IN PARTS</v>
          </cell>
          <cell r="J30" t="str">
            <v>PLEASE FEDEX OVERNIGHT PRIORITY PLEASE SHIP IN PARTS</v>
          </cell>
          <cell r="K30">
            <v>1</v>
          </cell>
          <cell r="L30">
            <v>330921701</v>
          </cell>
          <cell r="M30" t="str">
            <v>1.69" DUAL BACK PRESSURE VALVE</v>
          </cell>
          <cell r="N30">
            <v>33092</v>
          </cell>
          <cell r="O30">
            <v>35717</v>
          </cell>
          <cell r="P30">
            <v>35717</v>
          </cell>
        </row>
        <row r="31">
          <cell r="C31" t="str">
            <v>TT</v>
          </cell>
          <cell r="E31">
            <v>35716</v>
          </cell>
          <cell r="F31" t="str">
            <v>BENNY VINCENT</v>
          </cell>
          <cell r="G31" t="str">
            <v>LB</v>
          </cell>
          <cell r="H31">
            <v>6413</v>
          </cell>
          <cell r="I31" t="str">
            <v>ROBIN ROBINSON HAS ITEM 1 READY TO  SHIP.</v>
          </cell>
          <cell r="J31" t="str">
            <v>REGULAR FRIEGHT</v>
          </cell>
          <cell r="K31">
            <v>2</v>
          </cell>
          <cell r="L31">
            <v>330841700</v>
          </cell>
          <cell r="M31" t="str">
            <v>1.69" E-LINE BOOSTER</v>
          </cell>
          <cell r="N31">
            <v>33084</v>
          </cell>
          <cell r="O31">
            <v>35718</v>
          </cell>
          <cell r="P31">
            <v>35718</v>
          </cell>
          <cell r="Q31">
            <v>2</v>
          </cell>
          <cell r="R31" t="str">
            <v>WVLST0921</v>
          </cell>
          <cell r="S31" t="str">
            <v>HIGH TEMPERATURE GLUE</v>
          </cell>
          <cell r="T31">
            <v>43714</v>
          </cell>
          <cell r="U31" t="str">
            <v>ASAP</v>
          </cell>
          <cell r="V31" t="str">
            <v>ASAP</v>
          </cell>
        </row>
        <row r="32">
          <cell r="C32" t="str">
            <v>TT</v>
          </cell>
          <cell r="E32">
            <v>35723</v>
          </cell>
          <cell r="F32" t="str">
            <v>BENNY VINCENT</v>
          </cell>
          <cell r="G32" t="str">
            <v>LB</v>
          </cell>
          <cell r="H32">
            <v>6413</v>
          </cell>
          <cell r="I32" t="str">
            <v>TRUCK SURE</v>
          </cell>
          <cell r="J32" t="str">
            <v>TRUCK SURE</v>
          </cell>
          <cell r="K32">
            <v>90</v>
          </cell>
          <cell r="L32">
            <v>75907200</v>
          </cell>
          <cell r="M32" t="str">
            <v>2.13" E-LINE TOOL SHRINK WRAP ( MOTORS )</v>
          </cell>
          <cell r="N32">
            <v>43714</v>
          </cell>
          <cell r="O32">
            <v>35724</v>
          </cell>
          <cell r="P32">
            <v>35724</v>
          </cell>
          <cell r="Q32">
            <v>30</v>
          </cell>
          <cell r="R32">
            <v>75908500</v>
          </cell>
          <cell r="S32" t="str">
            <v>2.13" E-LINE TOOL SHRINK WRAP ( MOTORS )</v>
          </cell>
          <cell r="T32">
            <v>43714</v>
          </cell>
          <cell r="U32">
            <v>35724</v>
          </cell>
          <cell r="V32">
            <v>35724</v>
          </cell>
          <cell r="W32">
            <v>300</v>
          </cell>
          <cell r="X32" t="str">
            <v>WWGFOBO8B</v>
          </cell>
          <cell r="Y32" t="str">
            <v>10-32x1/4 BRASS SHEAR SCREWS</v>
          </cell>
          <cell r="Z32" t="str">
            <v>10-32x1/4 BRASS SHEAR SCREWS</v>
          </cell>
          <cell r="AA32">
            <v>35724</v>
          </cell>
          <cell r="AB32">
            <v>35724</v>
          </cell>
        </row>
        <row r="33">
          <cell r="C33" t="str">
            <v>INF</v>
          </cell>
          <cell r="E33">
            <v>35724</v>
          </cell>
          <cell r="F33" t="str">
            <v>BENNY VINCENT</v>
          </cell>
          <cell r="G33" t="str">
            <v>LB</v>
          </cell>
          <cell r="H33">
            <v>6413</v>
          </cell>
          <cell r="I33" t="str">
            <v>HOWCO/AMOCO E. CAM 221</v>
          </cell>
          <cell r="J33" t="str">
            <v>HOWCO/AMOCO E. CAM 221</v>
          </cell>
          <cell r="K33">
            <v>1</v>
          </cell>
          <cell r="L33">
            <v>301371808</v>
          </cell>
          <cell r="M33" t="str">
            <v xml:space="preserve"> 2.87"6.4# SL LK HT,20',L-80     4.25 OD,PZ SCOOP ECP </v>
          </cell>
          <cell r="N33">
            <v>30137</v>
          </cell>
          <cell r="O33" t="str">
            <v xml:space="preserve">  </v>
          </cell>
          <cell r="P33">
            <v>35730</v>
          </cell>
          <cell r="Q33">
            <v>35730</v>
          </cell>
        </row>
        <row r="34">
          <cell r="C34" t="str">
            <v>INF</v>
          </cell>
          <cell r="E34">
            <v>35727</v>
          </cell>
          <cell r="F34" t="str">
            <v>BENNY VINCENT</v>
          </cell>
          <cell r="G34" t="str">
            <v>LB</v>
          </cell>
          <cell r="H34">
            <v>6413</v>
          </cell>
          <cell r="I34" t="str">
            <v>EXXON</v>
          </cell>
          <cell r="J34" t="str">
            <v>S.TIM 54     G-29 S/T 2</v>
          </cell>
          <cell r="K34">
            <v>2</v>
          </cell>
          <cell r="L34">
            <v>301372403</v>
          </cell>
          <cell r="M34" t="str">
            <v>4.5" 11.6# X 5.63" O.D. BUTRESS BOX BY BOX L-80 20' PAYZONE</v>
          </cell>
          <cell r="N34">
            <v>30137</v>
          </cell>
          <cell r="O34" t="str">
            <v xml:space="preserve"> </v>
          </cell>
          <cell r="P34">
            <v>35739</v>
          </cell>
          <cell r="Q34">
            <v>2</v>
          </cell>
          <cell r="R34">
            <v>301482407</v>
          </cell>
          <cell r="S34" t="str">
            <v>4.5" 11.6# LT&amp;C BOX BY BUTTRESS PIN L-80 9' LONG LIFT SUB</v>
          </cell>
          <cell r="T34">
            <v>30148</v>
          </cell>
          <cell r="U34">
            <v>30148</v>
          </cell>
          <cell r="V34">
            <v>35739</v>
          </cell>
          <cell r="W34">
            <v>1</v>
          </cell>
          <cell r="X34">
            <v>301432431</v>
          </cell>
          <cell r="Y34" t="str">
            <v>4.5" 11.6# LT&amp;C BOX BY PIN L-80 3' LONG PROFILE SUB</v>
          </cell>
          <cell r="Z34">
            <v>30143</v>
          </cell>
          <cell r="AA34">
            <v>30143</v>
          </cell>
          <cell r="AB34">
            <v>35739</v>
          </cell>
          <cell r="AC34">
            <v>2</v>
          </cell>
          <cell r="AD34">
            <v>301432410</v>
          </cell>
          <cell r="AE34" t="str">
            <v>4.5" 11.6# BUTTRESS PIN BY LT&amp;C PIN L-80 PROFILE SUB</v>
          </cell>
          <cell r="AF34">
            <v>30143</v>
          </cell>
          <cell r="AG34">
            <v>30143</v>
          </cell>
          <cell r="AH34">
            <v>35739</v>
          </cell>
          <cell r="AI34" t="str">
            <v xml:space="preserve"> </v>
          </cell>
          <cell r="AJ34" t="str">
            <v xml:space="preserve"> </v>
          </cell>
          <cell r="AK34" t="str">
            <v xml:space="preserve"> </v>
          </cell>
          <cell r="AL34" t="str">
            <v xml:space="preserve"> </v>
          </cell>
          <cell r="AM34" t="str">
            <v xml:space="preserve"> </v>
          </cell>
          <cell r="AN34" t="str">
            <v xml:space="preserve"> </v>
          </cell>
          <cell r="AO34" t="str">
            <v xml:space="preserve"> </v>
          </cell>
        </row>
        <row r="35">
          <cell r="C35" t="str">
            <v>P</v>
          </cell>
          <cell r="E35">
            <v>35730</v>
          </cell>
          <cell r="F35" t="str">
            <v>Rishma Prasad</v>
          </cell>
          <cell r="G35" t="str">
            <v>LB</v>
          </cell>
          <cell r="H35">
            <v>6413</v>
          </cell>
          <cell r="I35" t="str">
            <v>SPIRIT ENERGY 76, SWEETLAKE, DUAL MONOBORE COMPLETION; JOB WILL BE UP IN TWO WEEKS FROM TODAY PER N JOHNSON 10/27/97</v>
          </cell>
          <cell r="J35" t="str">
            <v>SPIRIT ENERGY 76, SWEETLAKE, DUAL MONOBORE COMPLETION; JOB WILL BE UP IN TWO WEEKS FROM TODAY PER N JOHNSON 10/27/97</v>
          </cell>
          <cell r="K35">
            <v>1</v>
          </cell>
          <cell r="L35" t="str">
            <v>785-1X-XXXX</v>
          </cell>
          <cell r="M35" t="str">
            <v>SIZE 51B GT DUAL PACKER FOR 9 5/8 40# CASING WITH MANDREL THREADS: NON-PORTED MANDREL: 3 1/2 NEW VAM PIN X 3 1/2 9.2# FOX K PIN; PORTED MANDREL: 3 1/2 NEW VAM PIN X 2 7/8 6.4# FOX K PIN.  ALL FLOW WETTED PARTS: 13 CR, 85 KSI MYS</v>
          </cell>
          <cell r="N35" t="str">
            <v>785-1X</v>
          </cell>
          <cell r="O35">
            <v>35738</v>
          </cell>
          <cell r="P35">
            <v>35738</v>
          </cell>
          <cell r="Q35">
            <v>1</v>
          </cell>
          <cell r="R35" t="str">
            <v>785-XX-XXXX</v>
          </cell>
          <cell r="S35" t="str">
            <v>SIZE 51 SCOOPHEAD (LIKE 03-42307-00) FOR 51B GT DUAL PACKER:  LOW SIDE OF SCOOP TOP TO BE SIZE 80-32 10' LONG PBR (LIKE 03-42490-00 EXCEPT 10' &amp; 3.5 NEW VAM BOX DOWN TO MAKE UP TO GT DUAL PACKER NONPORTED MANDREL).  ALL FLOW WETTED PARTS 13 CR, 85 KSI MYS</v>
          </cell>
          <cell r="T35" t="str">
            <v>785-XX</v>
          </cell>
          <cell r="U35">
            <v>35738</v>
          </cell>
          <cell r="V35">
            <v>35738</v>
          </cell>
          <cell r="W35">
            <v>1</v>
          </cell>
          <cell r="X35" t="str">
            <v>441-25-18XX</v>
          </cell>
          <cell r="Y35" t="str">
            <v>2 7/8 ADJUSTABLE SPACER SUB W/ ROTATIONAL LOCK WITH  2 7/8 6.4# FOX K BOX X PIN FOR 13 CR 85 KSI MYS TUBING  (NOTE: WILL RUN BELOW PORTED MANDREL OF GT DUAL PKR)</v>
          </cell>
          <cell r="Z35" t="str">
            <v>441-25</v>
          </cell>
          <cell r="AA35">
            <v>35738</v>
          </cell>
          <cell r="AB35">
            <v>35738</v>
          </cell>
          <cell r="AC35">
            <v>1</v>
          </cell>
          <cell r="AD35" t="str">
            <v>450-03-XXXX</v>
          </cell>
          <cell r="AE35" t="str">
            <v>SIZE 80-32 "GBH-22S" LTSA WITH 5 SU X 10' LONG (2 SU ON TOP, SPACER TUBE, THEN 3 SU ON BOTTOM) 2 7/8 6.4# FOX K BOX UP X RATCHETING MULESHOE 80-32 13 CR 444-58-80XX; ALL FLOW WETTED PARTS TO BE 13 CR, 85 KSI MYS</v>
          </cell>
          <cell r="AF35" t="str">
            <v>450-03</v>
          </cell>
          <cell r="AG35">
            <v>35738</v>
          </cell>
          <cell r="AH35">
            <v>35738</v>
          </cell>
          <cell r="AI35">
            <v>1</v>
          </cell>
          <cell r="AJ35" t="str">
            <v>995-09-XXXX</v>
          </cell>
          <cell r="AK35" t="str">
            <v>3 1/2 FOX K BOX X  3 1/2 NEW VAM BOX SPACE OUT PUPS FOR SCOOPHEAD (PARALLEL TO SEAL BORE RECEPTABLE) TO MAKE UP TO PORTED MANDREL OF GT DUAL PACKER; 13 CR 85 KSI MYS</v>
          </cell>
          <cell r="AL35" t="str">
            <v>995-09</v>
          </cell>
          <cell r="AM35">
            <v>35738</v>
          </cell>
          <cell r="AN35">
            <v>35738</v>
          </cell>
          <cell r="AO35">
            <v>1</v>
          </cell>
          <cell r="AP35" t="str">
            <v>995-08-9999</v>
          </cell>
          <cell r="AQ35" t="str">
            <v>HES MODEL X NIPPLE W/ 2 7/8 6.4# FOX K BOX X PIN W/ 2.313 PROFILE 13CR 85 KSI MYS</v>
          </cell>
          <cell r="AR35" t="str">
            <v>995-08</v>
          </cell>
          <cell r="AS35">
            <v>35738</v>
          </cell>
          <cell r="AT35">
            <v>35738</v>
          </cell>
          <cell r="AU35">
            <v>1</v>
          </cell>
          <cell r="AV35" t="str">
            <v>XXX-XX-XXXX</v>
          </cell>
          <cell r="AW35" t="str">
            <v>CROSSOVER 2 7/8 6.4# FOX K BOX X 3 1/2 9.2# FOX K PIN, 13 CR 85 KSI MYS (MAKES UP TO BOTTOM OF NIPPLE)</v>
          </cell>
          <cell r="AX35" t="str">
            <v>XXX-XX</v>
          </cell>
          <cell r="AY35">
            <v>35738</v>
          </cell>
          <cell r="AZ35">
            <v>35738</v>
          </cell>
        </row>
        <row r="36">
          <cell r="C36" t="str">
            <v>P</v>
          </cell>
          <cell r="E36">
            <v>35732</v>
          </cell>
          <cell r="F36">
            <v>35732</v>
          </cell>
          <cell r="G36" t="str">
            <v>Cody Flemming</v>
          </cell>
          <cell r="H36" t="str">
            <v>LB</v>
          </cell>
          <cell r="I36">
            <v>6413</v>
          </cell>
          <cell r="J36" t="str">
            <v>Mobil Oil DR Hebert #1</v>
          </cell>
          <cell r="K36">
            <v>1</v>
          </cell>
          <cell r="L36">
            <v>1</v>
          </cell>
          <cell r="M36" t="str">
            <v>421-01-42QE</v>
          </cell>
          <cell r="N36" t="str">
            <v>546-32 HE Packer w/a 13cr 85KSI Body &amp; Guide</v>
          </cell>
          <cell r="O36" t="str">
            <v>421-01</v>
          </cell>
          <cell r="P36">
            <v>35742</v>
          </cell>
          <cell r="Q36">
            <v>35744</v>
          </cell>
        </row>
        <row r="37">
          <cell r="C37" t="str">
            <v>P</v>
          </cell>
          <cell r="E37">
            <v>35732</v>
          </cell>
          <cell r="F37">
            <v>35732</v>
          </cell>
          <cell r="G37" t="str">
            <v>David McDonald</v>
          </cell>
          <cell r="H37" t="str">
            <v>Lb</v>
          </cell>
          <cell r="I37">
            <v>6413</v>
          </cell>
          <cell r="J37" t="str">
            <v>Specialty Machine Shop</v>
          </cell>
          <cell r="K37">
            <v>16</v>
          </cell>
          <cell r="L37">
            <v>16</v>
          </cell>
          <cell r="M37">
            <v>171111700</v>
          </cell>
          <cell r="P37">
            <v>35733</v>
          </cell>
          <cell r="Q37">
            <v>35733</v>
          </cell>
          <cell r="R37">
            <v>4</v>
          </cell>
          <cell r="S37">
            <v>18888300</v>
          </cell>
          <cell r="V37">
            <v>35733</v>
          </cell>
          <cell r="W37">
            <v>35733</v>
          </cell>
          <cell r="X37">
            <v>16</v>
          </cell>
          <cell r="Y37">
            <v>18858800</v>
          </cell>
          <cell r="AB37">
            <v>35733</v>
          </cell>
          <cell r="AC37">
            <v>35733</v>
          </cell>
        </row>
        <row r="38">
          <cell r="C38" t="str">
            <v>PA</v>
          </cell>
          <cell r="E38">
            <v>35734</v>
          </cell>
          <cell r="F38">
            <v>35734</v>
          </cell>
          <cell r="G38" t="str">
            <v>Rishma Prasad</v>
          </cell>
          <cell r="H38" t="str">
            <v>LB</v>
          </cell>
          <cell r="I38">
            <v>6413</v>
          </cell>
          <cell r="J38" t="str">
            <v>TEXACO Vermilion Bay S/L 334, well B-35 S/T, parts FOR MODEL R-3 PACKER 642-01-36 (to be coated upon arrival @ Cade)</v>
          </cell>
          <cell r="K38" t="str">
            <v>Please send via RED HOT TAILGATE  for Saturday morning, 11/1/97 delivery to Cade district.  Thank you.</v>
          </cell>
          <cell r="L38">
            <v>1</v>
          </cell>
          <cell r="M38" t="str">
            <v>02-69540-00</v>
          </cell>
          <cell r="N38" t="str">
            <v>47 Bottom Sub 3 1/2 EU 8 Rd Pin</v>
          </cell>
          <cell r="O38" t="str">
            <v>642-01</v>
          </cell>
          <cell r="P38">
            <v>35734</v>
          </cell>
          <cell r="Q38">
            <v>35734</v>
          </cell>
          <cell r="R38">
            <v>1</v>
          </cell>
          <cell r="S38" t="str">
            <v>02-69543-00</v>
          </cell>
          <cell r="T38" t="str">
            <v>47 Top Sub, 3 1/2 EU 8 Rd</v>
          </cell>
          <cell r="U38" t="str">
            <v>642-01</v>
          </cell>
          <cell r="V38">
            <v>35735</v>
          </cell>
          <cell r="W38">
            <v>35734</v>
          </cell>
          <cell r="X38">
            <v>1</v>
          </cell>
          <cell r="Y38" t="str">
            <v>02-69546-00</v>
          </cell>
          <cell r="Z38" t="str">
            <v>47 Body 3 1/2 NU 10 RD pin x pin, BMS A101</v>
          </cell>
          <cell r="AA38" t="str">
            <v>642-01</v>
          </cell>
          <cell r="AB38">
            <v>35735</v>
          </cell>
          <cell r="AC38">
            <v>35734</v>
          </cell>
        </row>
        <row r="39">
          <cell r="C39" t="str">
            <v>P</v>
          </cell>
          <cell r="E39">
            <v>35739</v>
          </cell>
          <cell r="F39">
            <v>35739</v>
          </cell>
          <cell r="G39" t="str">
            <v>OLIVER RUDESILL</v>
          </cell>
          <cell r="H39" t="str">
            <v>LB</v>
          </cell>
          <cell r="I39">
            <v>6413</v>
          </cell>
          <cell r="J39" t="str">
            <v>SHIP FED EX TO CADE DISTRICT</v>
          </cell>
          <cell r="K39">
            <v>2</v>
          </cell>
          <cell r="L39">
            <v>2</v>
          </cell>
          <cell r="M39" t="str">
            <v>06-62908-01</v>
          </cell>
          <cell r="N39" t="str">
            <v>444-58 MULESHOE SLV 80-32 13CR</v>
          </cell>
          <cell r="O39">
            <v>35740</v>
          </cell>
          <cell r="P39">
            <v>35740</v>
          </cell>
          <cell r="Q39">
            <v>35740</v>
          </cell>
        </row>
        <row r="40">
          <cell r="C40" t="str">
            <v>FC</v>
          </cell>
          <cell r="E40">
            <v>35741</v>
          </cell>
          <cell r="F40">
            <v>35741</v>
          </cell>
          <cell r="G40" t="str">
            <v>Rishma Prasad</v>
          </cell>
          <cell r="H40" t="str">
            <v>LB</v>
          </cell>
          <cell r="I40">
            <v>6413</v>
          </cell>
          <cell r="J40" t="str">
            <v>Ship to Cade district via SAIA for Monday, 11/10/97 delivery at district</v>
          </cell>
          <cell r="K40" t="str">
            <v xml:space="preserve">This plug is for OSCA stock per their P.O. 37335 per Steve Myers at OSCA.  </v>
          </cell>
          <cell r="L40">
            <v>1</v>
          </cell>
          <cell r="M40">
            <v>806892601</v>
          </cell>
          <cell r="N40" t="str">
            <v xml:space="preserve"> 1.87 "RZG-01/21" BLK PLUG </v>
          </cell>
          <cell r="O40">
            <v>80689</v>
          </cell>
          <cell r="P40">
            <v>35744</v>
          </cell>
          <cell r="Q40">
            <v>35741</v>
          </cell>
        </row>
        <row r="41">
          <cell r="C41" t="str">
            <v>TT</v>
          </cell>
          <cell r="E41">
            <v>35745</v>
          </cell>
          <cell r="F41">
            <v>35745</v>
          </cell>
          <cell r="G41" t="str">
            <v>Ken Rudd</v>
          </cell>
          <cell r="H41" t="str">
            <v>LB</v>
          </cell>
          <cell r="I41">
            <v>6413</v>
          </cell>
          <cell r="J41" t="str">
            <v>Ship Saia when ready. PLEASE CONFIRM THIS ORDER WITH ACKNOWLEDGEMENT.PLEASE SHIP ITEM 2 TO SV !!!</v>
          </cell>
          <cell r="K41" t="str">
            <v>Please cancell order for 04-71840-00; continue order for 04-70464-00</v>
          </cell>
          <cell r="L41">
            <v>10</v>
          </cell>
          <cell r="M41" t="str">
            <v>04-71313-00</v>
          </cell>
          <cell r="N41" t="str">
            <v>cable male to female 10.00" lomg.</v>
          </cell>
          <cell r="O41" t="str">
            <v>437-15</v>
          </cell>
          <cell r="P41">
            <v>35775</v>
          </cell>
          <cell r="Q41">
            <v>3</v>
          </cell>
          <cell r="R41">
            <v>3</v>
          </cell>
          <cell r="S41" t="str">
            <v>04-71313-00</v>
          </cell>
          <cell r="T41" t="str">
            <v>cable male to female 10.00' long. SHIP THESE TO SV PLEASE!!!!!!</v>
          </cell>
          <cell r="U41" t="str">
            <v>437-15</v>
          </cell>
          <cell r="V41">
            <v>35775</v>
          </cell>
          <cell r="W41">
            <v>2</v>
          </cell>
          <cell r="X41">
            <v>2</v>
          </cell>
          <cell r="Y41" t="str">
            <v>04-69051-00</v>
          </cell>
          <cell r="Z41" t="str">
            <v>FILTER</v>
          </cell>
          <cell r="AA41" t="str">
            <v>437-15</v>
          </cell>
          <cell r="AB41">
            <v>35775</v>
          </cell>
        </row>
        <row r="42">
          <cell r="C42" t="str">
            <v>TT</v>
          </cell>
          <cell r="E42">
            <v>35745</v>
          </cell>
          <cell r="F42">
            <v>35745</v>
          </cell>
          <cell r="G42" t="str">
            <v>Ken Rudd</v>
          </cell>
          <cell r="H42" t="str">
            <v>LB</v>
          </cell>
          <cell r="I42">
            <v>6413</v>
          </cell>
          <cell r="J42" t="str">
            <v>sHIP WHEN AVAILABLE</v>
          </cell>
          <cell r="K42">
            <v>1</v>
          </cell>
          <cell r="L42">
            <v>1</v>
          </cell>
          <cell r="M42" t="str">
            <v>04-65709-00</v>
          </cell>
          <cell r="N42" t="str">
            <v>Bottom Adp Housing</v>
          </cell>
          <cell r="O42" t="str">
            <v>437-14</v>
          </cell>
          <cell r="P42" t="str">
            <v>ASAP</v>
          </cell>
          <cell r="Q42">
            <v>1</v>
          </cell>
          <cell r="R42">
            <v>1</v>
          </cell>
          <cell r="S42" t="str">
            <v>04-65710-00</v>
          </cell>
          <cell r="T42" t="str">
            <v>Inlet Housing</v>
          </cell>
          <cell r="U42" t="str">
            <v>437-14</v>
          </cell>
          <cell r="V42" t="str">
            <v>asap</v>
          </cell>
        </row>
        <row r="43">
          <cell r="C43" t="str">
            <v>TT</v>
          </cell>
          <cell r="E43">
            <v>35745</v>
          </cell>
          <cell r="F43">
            <v>35745</v>
          </cell>
          <cell r="G43" t="str">
            <v>Ken Rudd</v>
          </cell>
          <cell r="H43" t="str">
            <v>LB</v>
          </cell>
          <cell r="I43">
            <v>6413</v>
          </cell>
          <cell r="J43" t="str">
            <v>Ship on Levinge</v>
          </cell>
          <cell r="K43">
            <v>1</v>
          </cell>
          <cell r="L43">
            <v>1</v>
          </cell>
          <cell r="M43" t="str">
            <v>301-37-2403</v>
          </cell>
          <cell r="N43" t="str">
            <v>4.5"11.6#x5.63 BUTT BXB L-80 20' LONG PAYZONE</v>
          </cell>
          <cell r="O43">
            <v>30137</v>
          </cell>
          <cell r="P43">
            <v>35759</v>
          </cell>
        </row>
        <row r="44">
          <cell r="C44" t="str">
            <v>INF</v>
          </cell>
          <cell r="E44">
            <v>35747</v>
          </cell>
          <cell r="F44">
            <v>35747</v>
          </cell>
          <cell r="G44" t="str">
            <v>BENNY VINCENT</v>
          </cell>
          <cell r="H44" t="str">
            <v>LB</v>
          </cell>
          <cell r="I44">
            <v>6413</v>
          </cell>
          <cell r="J44" t="str">
            <v>SHIP SURE ON SAIA - RED HOT TAILGATE</v>
          </cell>
          <cell r="K44">
            <v>1</v>
          </cell>
          <cell r="L44">
            <v>1</v>
          </cell>
          <cell r="M44">
            <v>301432431</v>
          </cell>
          <cell r="N44" t="str">
            <v xml:space="preserve"> PROFILE SUB, 4.500 IN 11.60-12.60 LB/FT 8RL BOX X PIN, TOOL OD 5.250 X 3.958 ID, L80   </v>
          </cell>
          <cell r="O44">
            <v>30143</v>
          </cell>
          <cell r="P44" t="str">
            <v xml:space="preserve"> </v>
          </cell>
          <cell r="Q44">
            <v>35749</v>
          </cell>
        </row>
        <row r="45">
          <cell r="C45" t="str">
            <v>TT</v>
          </cell>
          <cell r="E45">
            <v>35751</v>
          </cell>
          <cell r="F45">
            <v>35751</v>
          </cell>
          <cell r="G45" t="str">
            <v>Ken Rudd</v>
          </cell>
          <cell r="H45" t="str">
            <v>lb</v>
          </cell>
          <cell r="I45">
            <v>6413</v>
          </cell>
          <cell r="J45" t="str">
            <v>Ship asap We damaged this part</v>
          </cell>
          <cell r="K45">
            <v>1</v>
          </cell>
          <cell r="L45">
            <v>1</v>
          </cell>
          <cell r="M45">
            <v>46569700</v>
          </cell>
          <cell r="N45" t="str">
            <v>Motor Housing</v>
          </cell>
          <cell r="O45" t="str">
            <v>437-14</v>
          </cell>
          <cell r="P45" t="str">
            <v>asap</v>
          </cell>
        </row>
        <row r="46">
          <cell r="C46" t="str">
            <v>PA</v>
          </cell>
          <cell r="E46">
            <v>35752</v>
          </cell>
          <cell r="F46">
            <v>35752</v>
          </cell>
          <cell r="G46" t="str">
            <v>Rishma Prasad</v>
          </cell>
          <cell r="H46" t="str">
            <v>LB</v>
          </cell>
          <cell r="I46">
            <v>6413</v>
          </cell>
          <cell r="J46" t="str">
            <v>Spirit Energy 76, East Cameron 190, well #1; cust svc: please enter well info and orderer name on bill of lading &amp; pick slip so we know what this part is for upon arrival at district.  Thanks.</v>
          </cell>
          <cell r="K46">
            <v>1</v>
          </cell>
          <cell r="L46">
            <v>1</v>
          </cell>
          <cell r="M46" t="str">
            <v>02-47117-XX</v>
          </cell>
          <cell r="N46" t="str">
            <v>L-22S Special Locator Sub, size 190-47 with 6.375 OD, with 60 degree locating shoulder to locate on top shoulder of liner extension sleeve comm # 07-90698-00, 13 Cr, BMS S210, 3 1/2 10.2# Fox K Box up x 4" 13# Vam AG Box down; standard comm # requested</v>
          </cell>
          <cell r="O46">
            <v>35758</v>
          </cell>
          <cell r="P46">
            <v>35758</v>
          </cell>
          <cell r="Q46">
            <v>35757</v>
          </cell>
        </row>
        <row r="47">
          <cell r="C47" t="str">
            <v>P</v>
          </cell>
          <cell r="E47">
            <v>35753</v>
          </cell>
          <cell r="F47">
            <v>35753</v>
          </cell>
          <cell r="G47" t="str">
            <v>Rishma Prasad</v>
          </cell>
          <cell r="H47" t="str">
            <v>Broussard / LB</v>
          </cell>
          <cell r="I47">
            <v>6413</v>
          </cell>
          <cell r="J47" t="str">
            <v>Oxy Wilson A-1; R Prasad</v>
          </cell>
          <cell r="K47">
            <v>1</v>
          </cell>
          <cell r="L47">
            <v>1</v>
          </cell>
          <cell r="M47" t="str">
            <v>426-09-14XX</v>
          </cell>
          <cell r="N47" t="str">
            <v>89-40 "F-1" RET PROD PKR      (just like 426-09-14QG)</v>
          </cell>
          <cell r="O47" t="str">
            <v>426-09</v>
          </cell>
          <cell r="P47">
            <v>35769</v>
          </cell>
          <cell r="Q47">
            <v>35768</v>
          </cell>
          <cell r="R47">
            <v>1</v>
          </cell>
          <cell r="S47" t="str">
            <v>02-43234-XX</v>
          </cell>
          <cell r="T47" t="str">
            <v>89-40 GUIDE (just like 02-43234-QD)</v>
          </cell>
          <cell r="U47">
            <v>35769</v>
          </cell>
          <cell r="V47">
            <v>35769</v>
          </cell>
          <cell r="W47">
            <v>35768</v>
          </cell>
          <cell r="X47">
            <v>1</v>
          </cell>
          <cell r="Y47" t="str">
            <v>02-43229-XXXX</v>
          </cell>
          <cell r="Z47" t="str">
            <v>80-40 Concentric Coupling (just like 02-43229-07QA)</v>
          </cell>
          <cell r="AA47">
            <v>35769</v>
          </cell>
          <cell r="AB47">
            <v>35769</v>
          </cell>
          <cell r="AC47">
            <v>35768</v>
          </cell>
          <cell r="AD47">
            <v>1</v>
          </cell>
          <cell r="AE47" t="str">
            <v>02-43230-XX</v>
          </cell>
          <cell r="AF47" t="str">
            <v>499-41 Bottom Sub 80-40 3 1/2 12.95 Hyd PH-6, BMS S501 (just like 02-43230-DV)</v>
          </cell>
          <cell r="AG47" t="str">
            <v>499-41</v>
          </cell>
          <cell r="AH47">
            <v>35769</v>
          </cell>
          <cell r="AI47">
            <v>35768</v>
          </cell>
          <cell r="AJ47">
            <v>1</v>
          </cell>
          <cell r="AK47" t="str">
            <v>469-21-3663</v>
          </cell>
          <cell r="AL47" t="str">
            <v>Wireline entry guide w/ 4.75 OD to 3 1/2 12.95# PH-6 Box thread up, using BMS S501, 9 Cr material</v>
          </cell>
          <cell r="AM47" t="str">
            <v>469-21</v>
          </cell>
          <cell r="AN47">
            <v>35769</v>
          </cell>
          <cell r="AO47">
            <v>35768</v>
          </cell>
          <cell r="AP47">
            <v>1</v>
          </cell>
          <cell r="AQ47" t="str">
            <v>453-30-31XX</v>
          </cell>
          <cell r="AR47" t="str">
            <v>80-40 Model "G-22S" Locator Seal Assy w/ 3 1/2 9.2# CSCB Hydril x/ 1/2 Muleshoe w/ 2 ARYTE SU, 9 Cr (just like 453-30-31DQ)</v>
          </cell>
          <cell r="AS47" t="str">
            <v>453-30</v>
          </cell>
          <cell r="AT47">
            <v>35769</v>
          </cell>
          <cell r="AU47">
            <v>35768</v>
          </cell>
          <cell r="AV47">
            <v>2</v>
          </cell>
          <cell r="AW47" t="str">
            <v>02-67262-16</v>
          </cell>
          <cell r="AX47" t="str">
            <v>80-40 Spacer tube 8', 9 Cr, BMS S501, 3.625 Stub Acme box x pin</v>
          </cell>
          <cell r="AY47">
            <v>35769</v>
          </cell>
          <cell r="AZ47">
            <v>35769</v>
          </cell>
          <cell r="BA47">
            <v>35768</v>
          </cell>
          <cell r="BB47">
            <v>4</v>
          </cell>
          <cell r="BC47" t="str">
            <v>01-41745-58</v>
          </cell>
          <cell r="BD47" t="str">
            <v xml:space="preserve">80-40 SEAL UNIT BMS-S501 W/A-RYTE PACKING UNIT W/ BMS-S210 METAL GOODS                        </v>
          </cell>
          <cell r="BE47">
            <v>35769</v>
          </cell>
          <cell r="BF47">
            <v>35769</v>
          </cell>
          <cell r="BG47">
            <v>35768</v>
          </cell>
        </row>
        <row r="48">
          <cell r="C48" t="str">
            <v>TT</v>
          </cell>
          <cell r="E48">
            <v>35755</v>
          </cell>
          <cell r="F48">
            <v>35755</v>
          </cell>
          <cell r="G48" t="str">
            <v>kEN rUDD</v>
          </cell>
          <cell r="H48" t="str">
            <v>lb</v>
          </cell>
          <cell r="I48">
            <v>6413</v>
          </cell>
          <cell r="J48" t="str">
            <v>Ship asap We damaged this part</v>
          </cell>
          <cell r="K48" t="str">
            <v>Ship only one if available</v>
          </cell>
          <cell r="L48">
            <v>2</v>
          </cell>
          <cell r="M48">
            <v>75904100</v>
          </cell>
          <cell r="N48" t="str">
            <v>Filler Hsg</v>
          </cell>
          <cell r="O48" t="str">
            <v>437-14</v>
          </cell>
          <cell r="P48">
            <v>35755</v>
          </cell>
          <cell r="Q48">
            <v>35755</v>
          </cell>
          <cell r="R48">
            <v>2</v>
          </cell>
          <cell r="S48" t="str">
            <v>07-59037-00</v>
          </cell>
          <cell r="T48" t="str">
            <v>Motor Hsg</v>
          </cell>
          <cell r="U48" t="str">
            <v>437-14</v>
          </cell>
          <cell r="V48">
            <v>35755</v>
          </cell>
          <cell r="W48">
            <v>35755</v>
          </cell>
        </row>
        <row r="49">
          <cell r="C49" t="str">
            <v>P</v>
          </cell>
          <cell r="E49">
            <v>35754</v>
          </cell>
          <cell r="F49">
            <v>35754</v>
          </cell>
          <cell r="G49" t="str">
            <v>Rishma Prasad</v>
          </cell>
          <cell r="H49" t="str">
            <v>Broussard / LB</v>
          </cell>
          <cell r="I49">
            <v>6413</v>
          </cell>
          <cell r="J49" t="str">
            <v>Spirit 76 STANDARD MATERIALS GT Dual; PLEASE NOTE THAT THIS DR HAS BEEN REVISED 11/25/97 TO REFLECT (1) CHANGES IN ITEMS 1 - GT DUAL , 3 - ADJUSTABLE SPACER SUB, &amp; 9 - SEAL BORE RECEPTACLE (2) SOME ITEMS HAVE BEEN DELETED DUE TO TIME RESTRAINTS BY MOSTEAM</v>
          </cell>
          <cell r="K49" t="str">
            <v>/ QUICKTURN, (3) DUE DATES &amp; ARRIVAL DATES HAVE BEEN LENGTHENED FOR THIS CHANGE - ORDER, (4) ALL SOR'S HAVE BEEN REVEIWED TO ENSURE NO CR MATLS NEEDED ON THIS DR.</v>
          </cell>
          <cell r="L49">
            <v>1</v>
          </cell>
          <cell r="M49" t="str">
            <v>785-10-51XX</v>
          </cell>
          <cell r="N49" t="str">
            <v>GT DUAL PACKER, nitrile PE, New Vam Pin x Pin;   Just like 785-10-5104 except (1) NO Cr mandrels (standard matls), and (2) 90 KLB UPPER SHEAR RING ON PORTED mandrel (Long string), and 40 KLB LOWER SHEAR RING ON NONPORTED mandrel (short string).</v>
          </cell>
          <cell r="O49" t="str">
            <v>785-10</v>
          </cell>
          <cell r="P49">
            <v>35433</v>
          </cell>
          <cell r="Q49">
            <v>35432</v>
          </cell>
          <cell r="R49">
            <v>1</v>
          </cell>
          <cell r="S49" t="str">
            <v>03-42307-00</v>
          </cell>
          <cell r="T49" t="str">
            <v>SCOOPHEAD FOR SIZE 51B GT DUAL PACKER W/ 3 1/2 9.2# NEW VAM BOX DOWN</v>
          </cell>
          <cell r="U49" t="str">
            <v>785-10</v>
          </cell>
          <cell r="V49">
            <v>35433</v>
          </cell>
          <cell r="W49">
            <v>35432</v>
          </cell>
          <cell r="X49">
            <v>1</v>
          </cell>
          <cell r="Y49" t="str">
            <v>441-25-18XX</v>
          </cell>
          <cell r="Z49" t="str">
            <v>2 7/8 ADJUSTABLE SPACER SUB W/ ROTATIONAL LOCK  TO BE RUN BELOW PORTED MANDREL OF 51B GT DUAL - just like 441-25-1865 except w/ 2 7/8 6.4# FOX X BOX X PIN</v>
          </cell>
          <cell r="AA49" t="str">
            <v>441-25</v>
          </cell>
          <cell r="AB49">
            <v>35433</v>
          </cell>
          <cell r="AC49">
            <v>35432</v>
          </cell>
          <cell r="AD49">
            <v>1</v>
          </cell>
          <cell r="AE49" t="str">
            <v>450-03-30XX</v>
          </cell>
          <cell r="AF49" t="str">
            <v>SIZE 80-32 "GBH-22" LTSA W. 5 SU (2 SU ON TOP, SPACER TUBE, 2 SU ON BOTTOM) 2 7/8 6.4# FOX K BOX UP X RATCHETING MULESHOE; 13 CR 444-58-80XX, just like 450-03-30DK except NO 13 CR FLOW WETTED PARTS</v>
          </cell>
          <cell r="AG49" t="str">
            <v>450-03</v>
          </cell>
          <cell r="AH49">
            <v>35433</v>
          </cell>
          <cell r="AI49">
            <v>35432</v>
          </cell>
          <cell r="AJ49">
            <v>1</v>
          </cell>
          <cell r="AK49" t="str">
            <v>03-42490-XX</v>
          </cell>
          <cell r="AL49" t="str">
            <v>SEAL BORE RECEPTACLE F/ 51B GT DUAL (3 1/2 X 3.25 X 10') with 3 1/2" 9.2# NEW VAM BOX DOWN;  18-22 Rc, 80 KSI MYS;  (TO GET BACK TO 3' PUP JOINT BELOW THIS); just like 03-42490-DA except NOT 13 Cr</v>
          </cell>
          <cell r="AM49" t="str">
            <v>785-09</v>
          </cell>
          <cell r="AN49">
            <v>35433</v>
          </cell>
          <cell r="AO49">
            <v>35432</v>
          </cell>
        </row>
        <row r="50">
          <cell r="C50" t="str">
            <v>PA</v>
          </cell>
          <cell r="E50">
            <v>35765</v>
          </cell>
          <cell r="F50">
            <v>35765</v>
          </cell>
          <cell r="G50" t="str">
            <v>Rishma Prasad</v>
          </cell>
          <cell r="H50" t="str">
            <v>Broussard / LB</v>
          </cell>
          <cell r="I50">
            <v>6413</v>
          </cell>
          <cell r="J50" t="str">
            <v>Spirit 76 - E Breaks 158, A-18 S/T</v>
          </cell>
          <cell r="K50">
            <v>1</v>
          </cell>
          <cell r="L50">
            <v>1</v>
          </cell>
          <cell r="M50" t="str">
            <v>02-47472-01</v>
          </cell>
          <cell r="N50" t="str">
            <v>Seal Bore: 80-40 4.75" Stub Acme pin x pin</v>
          </cell>
          <cell r="O50">
            <v>35776</v>
          </cell>
          <cell r="P50">
            <v>35776</v>
          </cell>
          <cell r="Q50">
            <v>35775</v>
          </cell>
        </row>
        <row r="51">
          <cell r="C51" t="str">
            <v>PA</v>
          </cell>
          <cell r="E51">
            <v>35772</v>
          </cell>
          <cell r="F51">
            <v>35772</v>
          </cell>
          <cell r="G51" t="str">
            <v>Rishma Prasad</v>
          </cell>
          <cell r="H51" t="str">
            <v>Broussad / LB</v>
          </cell>
          <cell r="I51">
            <v>6413</v>
          </cell>
          <cell r="J51" t="str">
            <v>Oxy - Wilson A-1</v>
          </cell>
          <cell r="K51">
            <v>1</v>
          </cell>
          <cell r="L51">
            <v>1</v>
          </cell>
          <cell r="M51" t="str">
            <v>02-47472-16</v>
          </cell>
          <cell r="N51" t="str">
            <v xml:space="preserve"> 80-40 SEAL BORE EXTENSION 4.750 STUB ACME PIN 4.750 STUB ACME PIN 10.000 FT LONG BMS-S501 </v>
          </cell>
          <cell r="O51">
            <v>41505</v>
          </cell>
          <cell r="P51">
            <v>35783</v>
          </cell>
          <cell r="Q51">
            <v>35782</v>
          </cell>
          <cell r="R51">
            <v>1</v>
          </cell>
          <cell r="S51" t="str">
            <v>02-4747293</v>
          </cell>
          <cell r="T51" t="str">
            <v>80-40 SEAL BORE EXTENSION 4.750 STUB ACME PIN 4.750 STUB ACME PIN 15.000 FT LONG BMS-S501</v>
          </cell>
          <cell r="U51">
            <v>41505</v>
          </cell>
          <cell r="V51">
            <v>35783</v>
          </cell>
          <cell r="W51">
            <v>35782</v>
          </cell>
        </row>
        <row r="52">
          <cell r="C52" t="str">
            <v/>
          </cell>
          <cell r="F52">
            <v>35772</v>
          </cell>
          <cell r="G52" t="str">
            <v>BENNY VINCENT</v>
          </cell>
          <cell r="H52" t="str">
            <v>LB</v>
          </cell>
          <cell r="I52">
            <v>6413</v>
          </cell>
          <cell r="J52" t="str">
            <v>STOCK</v>
          </cell>
          <cell r="L52">
            <v>1</v>
          </cell>
          <cell r="M52">
            <v>301377602</v>
          </cell>
          <cell r="N52" t="str">
            <v xml:space="preserve"> PAYZONE FILTER PLUG ECP, 13.375" 72.0# LB/FT     (DRIFT TO 68#) CSG. BUTTRESS BOX X BOX,          1000 PSI LSV, 750 PSI ICV, 15.75 IN. TOOL OD,    20 FT. LONG, L-80                               ER062597                                       </v>
          </cell>
          <cell r="O52">
            <v>30137</v>
          </cell>
          <cell r="P52" t="str">
            <v>?</v>
          </cell>
          <cell r="Q52" t="str">
            <v>?</v>
          </cell>
          <cell r="R52">
            <v>1</v>
          </cell>
          <cell r="S52">
            <v>301487607</v>
          </cell>
          <cell r="T52" t="str">
            <v xml:space="preserve"> ER062097                                          LIFT SUB F/PAYZONE &amp; ISOZONE F/ECP W/13.375       IN. 72.00 LB/FT (68# DRIFT) BUTTRESS BOX X PIN    9 FT. LONG, L-80                                 ER062097                                        </v>
          </cell>
          <cell r="U52">
            <v>30148</v>
          </cell>
          <cell r="V52" t="str">
            <v>?</v>
          </cell>
          <cell r="W52" t="str">
            <v>?</v>
          </cell>
          <cell r="X52">
            <v>1</v>
          </cell>
          <cell r="Y52">
            <v>301517605</v>
          </cell>
          <cell r="Z52" t="str">
            <v xml:space="preserve">  ER062097                                             BOTTOM SUB 13.375 IN. 72.00 LB/FT (DRIFT 68#)        BUTTRESS PIN X PIN, 3 FT LONG, 12.347 ID, L-80       SUB                                                 </v>
          </cell>
          <cell r="AA52">
            <v>30151</v>
          </cell>
          <cell r="AB52" t="str">
            <v>??</v>
          </cell>
          <cell r="AC52" t="str">
            <v>?</v>
          </cell>
        </row>
        <row r="53">
          <cell r="C53" t="str">
            <v/>
          </cell>
          <cell r="F53">
            <v>35774</v>
          </cell>
          <cell r="G53" t="str">
            <v>BENNY VINCENT</v>
          </cell>
          <cell r="H53" t="str">
            <v>LB</v>
          </cell>
          <cell r="I53">
            <v>6413</v>
          </cell>
          <cell r="J53" t="str">
            <v>STOCK</v>
          </cell>
          <cell r="L53">
            <v>10</v>
          </cell>
          <cell r="M53">
            <v>75890600</v>
          </cell>
          <cell r="N53" t="str">
            <v>SQUARE HOUSING</v>
          </cell>
          <cell r="O53">
            <v>43714</v>
          </cell>
          <cell r="P53">
            <v>35775</v>
          </cell>
          <cell r="Q53">
            <v>35775</v>
          </cell>
        </row>
        <row r="54">
          <cell r="C54" t="str">
            <v/>
          </cell>
          <cell r="F54">
            <v>35775</v>
          </cell>
          <cell r="G54" t="str">
            <v>David McDonald</v>
          </cell>
          <cell r="H54" t="str">
            <v>LB</v>
          </cell>
          <cell r="I54">
            <v>6413</v>
          </cell>
          <cell r="J54" t="str">
            <v>Amaoco production Co. Hackberry #226</v>
          </cell>
          <cell r="K54" t="str">
            <v>Quickturn.</v>
          </cell>
          <cell r="L54">
            <v>1</v>
          </cell>
          <cell r="M54">
            <v>80150</v>
          </cell>
          <cell r="N54" t="str">
            <v>Like 801506241 but 2 7/8, 6.4#, nu10rd. box x pin.</v>
          </cell>
          <cell r="P54">
            <v>35788</v>
          </cell>
        </row>
        <row r="55">
          <cell r="C55" t="str">
            <v/>
          </cell>
          <cell r="F55">
            <v>35775</v>
          </cell>
          <cell r="G55" t="str">
            <v>Ken Rudd</v>
          </cell>
          <cell r="H55" t="str">
            <v>lb</v>
          </cell>
          <cell r="I55">
            <v>6413</v>
          </cell>
          <cell r="J55" t="str">
            <v>For Stock</v>
          </cell>
          <cell r="K55" t="str">
            <v>Ship 2 if you have them now</v>
          </cell>
          <cell r="L55">
            <v>5</v>
          </cell>
          <cell r="M55">
            <v>46601100</v>
          </cell>
          <cell r="N55" t="str">
            <v>Fishing Neck for Pull Disconnect</v>
          </cell>
          <cell r="O55">
            <v>33080</v>
          </cell>
          <cell r="P55">
            <v>35786</v>
          </cell>
          <cell r="Q55">
            <v>35786</v>
          </cell>
        </row>
        <row r="56">
          <cell r="C56" t="str">
            <v/>
          </cell>
          <cell r="F56">
            <v>35776</v>
          </cell>
          <cell r="G56" t="str">
            <v>Rishma Prasad</v>
          </cell>
          <cell r="H56" t="str">
            <v>LB</v>
          </cell>
          <cell r="I56">
            <v>6413</v>
          </cell>
          <cell r="J56" t="str">
            <v>Spirit 76: E cameron 38, OCSG 2562, well # 4 S/T (same job as SAB packer on DR # 20355 faxed from O Rudesill on 12/9/97)</v>
          </cell>
          <cell r="L56">
            <v>1</v>
          </cell>
          <cell r="M56" t="str">
            <v>443-39-70XX</v>
          </cell>
          <cell r="N56" t="str">
            <v xml:space="preserve"> 80DA40 "K-36" ATSN W/1SU; 3 1/2 9.2# FOX K BOX, 30-36 RC MATL, 110 KSI MYS; JUST LIKE 443-39-7020 EXCEPT WITH 3 1/2 9.2# FOX K BOX</v>
          </cell>
          <cell r="O56" t="str">
            <v>443-39</v>
          </cell>
          <cell r="P56">
            <v>35784</v>
          </cell>
          <cell r="Q56">
            <v>35783</v>
          </cell>
        </row>
        <row r="57">
          <cell r="C57" t="str">
            <v/>
          </cell>
          <cell r="F57">
            <v>35783</v>
          </cell>
          <cell r="G57" t="str">
            <v>W. STOVALL</v>
          </cell>
          <cell r="H57" t="str">
            <v>LB</v>
          </cell>
          <cell r="I57">
            <v>6413</v>
          </cell>
          <cell r="J57" t="str">
            <v>STOCK</v>
          </cell>
          <cell r="L57">
            <v>15</v>
          </cell>
          <cell r="M57" t="str">
            <v>02-2452900</v>
          </cell>
          <cell r="P57">
            <v>35786</v>
          </cell>
          <cell r="Q57">
            <v>35786</v>
          </cell>
        </row>
        <row r="58">
          <cell r="C58" t="str">
            <v/>
          </cell>
          <cell r="E58" t="str">
            <v xml:space="preserve"> </v>
          </cell>
          <cell r="F58">
            <v>35783</v>
          </cell>
          <cell r="G58" t="str">
            <v>BENNY VINCENT</v>
          </cell>
          <cell r="H58" t="str">
            <v>LB</v>
          </cell>
          <cell r="I58">
            <v>6413</v>
          </cell>
          <cell r="J58" t="str">
            <v>EXXON:  SHIP ON EXXON HOTSHOT; ACME TRUCKLINE 1-800-818-1187 8:00A.M. DELIVERY IN CADE</v>
          </cell>
          <cell r="K58" t="str">
            <v>MATAGORDA ISL. 632   A-6ST    OCS-G-3091</v>
          </cell>
          <cell r="L58">
            <v>1</v>
          </cell>
          <cell r="M58" t="str">
            <v>WS4747008</v>
          </cell>
          <cell r="N58" t="str">
            <v xml:space="preserve"> BMS-A103 23-26, 30-26 &amp; 40-26   SEAL BORE EXTENSION BLANK 3.62 O.D. 10' LONG                                                                     </v>
          </cell>
          <cell r="P58">
            <v>35784</v>
          </cell>
          <cell r="Q58">
            <v>35784</v>
          </cell>
        </row>
        <row r="59">
          <cell r="C59" t="str">
            <v/>
          </cell>
          <cell r="F59">
            <v>35786</v>
          </cell>
          <cell r="G59" t="str">
            <v>BENNY VINCENT</v>
          </cell>
          <cell r="H59" t="str">
            <v>LB</v>
          </cell>
          <cell r="I59">
            <v>6413</v>
          </cell>
          <cell r="J59" t="str">
            <v>EXXON; WOULD LIKE PACKER ASAP, BUT DO NOT WORK OVERTIME ON IT.</v>
          </cell>
          <cell r="K59" t="str">
            <v>MATAGORDA ISL. 632   A-6ST    OCS-G-3091</v>
          </cell>
          <cell r="L59">
            <v>1</v>
          </cell>
          <cell r="M59">
            <v>301372007</v>
          </cell>
          <cell r="N59" t="str">
            <v xml:space="preserve"> PAYZONE FILTER PLUG ECP, 3.50" 9.2# TBG., L-80   4.75" OD, 20 FT. SEAL LOCK HT THRU, 1,000 PSI S</v>
          </cell>
          <cell r="O59">
            <v>30137</v>
          </cell>
          <cell r="P59" t="str">
            <v>?</v>
          </cell>
          <cell r="Q59">
            <v>35791</v>
          </cell>
        </row>
        <row r="60">
          <cell r="C60" t="str">
            <v/>
          </cell>
          <cell r="F60">
            <v>35787</v>
          </cell>
          <cell r="G60" t="str">
            <v>BENNY VINCENT</v>
          </cell>
          <cell r="H60" t="str">
            <v>LB</v>
          </cell>
          <cell r="I60">
            <v>6413</v>
          </cell>
          <cell r="J60" t="str">
            <v xml:space="preserve">PLEASE FEDEX OVERNIGHT PRIORITY </v>
          </cell>
          <cell r="L60">
            <v>50</v>
          </cell>
          <cell r="M60" t="str">
            <v>WWGE080HR</v>
          </cell>
          <cell r="N60" t="str">
            <v>8-32 X 1/2" LG SLOTTED HEADLESS SCREW  ANNEALED STEEL MACHINE SCREW W/NC THREADS</v>
          </cell>
          <cell r="P60" t="str">
            <v>12/24/97 A.M.</v>
          </cell>
          <cell r="Q60" t="str">
            <v>12/24/97 A.M.</v>
          </cell>
        </row>
        <row r="61">
          <cell r="C61" t="str">
            <v/>
          </cell>
          <cell r="F61">
            <v>35787</v>
          </cell>
          <cell r="G61" t="str">
            <v>BENNY VINCENT</v>
          </cell>
          <cell r="H61" t="str">
            <v>LB</v>
          </cell>
          <cell r="I61">
            <v>6413</v>
          </cell>
          <cell r="J61" t="str">
            <v>PLEASE FEDEX OVERNIGHT PRIORITY</v>
          </cell>
          <cell r="L61">
            <v>200</v>
          </cell>
          <cell r="M61" t="str">
            <v>WWGF0B0DS</v>
          </cell>
          <cell r="N61" t="str">
            <v xml:space="preserve">10-32 X 3/8SLOTTED HEADLESS MACHINE SCREW -NF  STEEL  </v>
          </cell>
          <cell r="P61" t="str">
            <v>12/24/97 A.M.</v>
          </cell>
          <cell r="Q61" t="str">
            <v>12/24/97 A.M.</v>
          </cell>
        </row>
        <row r="62">
          <cell r="C62" t="str">
            <v/>
          </cell>
          <cell r="F62">
            <v>35787</v>
          </cell>
          <cell r="G62" t="str">
            <v>Rishma Prasad</v>
          </cell>
          <cell r="H62" t="str">
            <v>LB</v>
          </cell>
          <cell r="I62">
            <v>6413</v>
          </cell>
          <cell r="J62" t="str">
            <v>For Oxy Wilson A-1 well; THIS PART MUST BE BROUGHT INTO LB INVENTORY AS THIS COMM # 0249560QB SINCE WE ARE CURRNTLY STOCK CONVERTING (ALLOWING QTY 1 NEGATIVE UNTIL THIS COMM ENTERS LB TO ZERO THIS COMM # QTY)</v>
          </cell>
          <cell r="L62">
            <v>1</v>
          </cell>
          <cell r="M62" t="str">
            <v>0249560QB</v>
          </cell>
          <cell r="N62" t="str">
            <v>80-40 TUBING NIPPLE (5' LONG); BMS S210</v>
          </cell>
          <cell r="O62">
            <v>45335</v>
          </cell>
          <cell r="P62">
            <v>35445</v>
          </cell>
          <cell r="Q62">
            <v>35444</v>
          </cell>
        </row>
        <row r="63">
          <cell r="C63" t="str">
            <v/>
          </cell>
          <cell r="F63">
            <v>35793</v>
          </cell>
          <cell r="G63" t="str">
            <v>BENNY VINCENT</v>
          </cell>
          <cell r="H63" t="str">
            <v>LB</v>
          </cell>
          <cell r="I63">
            <v>6413</v>
          </cell>
          <cell r="J63" t="str">
            <v>MARATHON</v>
          </cell>
          <cell r="K63" t="str">
            <v>HOT!     RUSH!</v>
          </cell>
          <cell r="L63">
            <v>1</v>
          </cell>
          <cell r="M63" t="str">
            <v>30137XXXX</v>
          </cell>
          <cell r="N63" t="str">
            <v>4" 14.8# P-110 20' PAYZONE BUTTRESS BOX BY BOX 5.250" O.D. W/ HYDROGENATED RUBBER, 1000PSI SV, 750PSI ICV</v>
          </cell>
          <cell r="O63">
            <v>30137</v>
          </cell>
          <cell r="P63">
            <v>35461</v>
          </cell>
          <cell r="Q63">
            <v>35795</v>
          </cell>
          <cell r="R63">
            <v>1</v>
          </cell>
          <cell r="T63" t="str">
            <v>OVERTIME AND EXPEDITING CHARGE</v>
          </cell>
          <cell r="U63">
            <v>30137</v>
          </cell>
        </row>
        <row r="64">
          <cell r="C64" t="str">
            <v/>
          </cell>
          <cell r="F64">
            <v>35793</v>
          </cell>
          <cell r="G64" t="str">
            <v>BENNY VINCENT</v>
          </cell>
          <cell r="H64" t="str">
            <v>LB</v>
          </cell>
          <cell r="I64">
            <v>6413</v>
          </cell>
          <cell r="J64" t="str">
            <v>STOCK</v>
          </cell>
          <cell r="M64">
            <v>301375302</v>
          </cell>
          <cell r="N64" t="str">
            <v xml:space="preserve"> PZN 7.62 IN. 33.7# (29.7# DRIFT) CSG. X        9.00 OD W/BTRS BXB, 20 FT LG. ECP, P-110 W/    PAYZONE FILTER PLUG VALVE COLLAR 1,000 PSI     SVN, 750 PSI ICV                             </v>
          </cell>
          <cell r="O64">
            <v>30137</v>
          </cell>
          <cell r="P64">
            <v>35445</v>
          </cell>
          <cell r="Q64">
            <v>35445</v>
          </cell>
        </row>
        <row r="65">
          <cell r="C65" t="str">
            <v/>
          </cell>
          <cell r="F65">
            <v>35794</v>
          </cell>
          <cell r="G65" t="str">
            <v>Rishma Prasad</v>
          </cell>
          <cell r="H65" t="str">
            <v>LB</v>
          </cell>
          <cell r="I65">
            <v>6413</v>
          </cell>
          <cell r="J65" t="str">
            <v>Spirit 76 - Vermilion Bay - S/L 334 - well #1 - Rishma</v>
          </cell>
          <cell r="L65">
            <v>1</v>
          </cell>
          <cell r="M65">
            <v>426031161</v>
          </cell>
          <cell r="N65" t="str">
            <v>PKR F-1 85-40 LESS GUIDE; 30-36 BODY</v>
          </cell>
          <cell r="O65" t="str">
            <v>426-03</v>
          </cell>
          <cell r="P65">
            <v>35810</v>
          </cell>
          <cell r="Q65">
            <v>35809</v>
          </cell>
          <cell r="R65">
            <v>2</v>
          </cell>
          <cell r="S65" t="str">
            <v>024322504</v>
          </cell>
          <cell r="T65" t="str">
            <v>85-40 GUIDE</v>
          </cell>
          <cell r="U65" t="str">
            <v>413-08</v>
          </cell>
          <cell r="V65">
            <v>35810</v>
          </cell>
          <cell r="W65">
            <v>35809</v>
          </cell>
          <cell r="X65">
            <v>1</v>
          </cell>
          <cell r="Y65">
            <v>24747206</v>
          </cell>
          <cell r="Z65" t="str">
            <v>SIZE 80-40 SBE 4.75" STUB ACME P XP 5' LONG</v>
          </cell>
          <cell r="AA65" t="str">
            <v>413-08</v>
          </cell>
          <cell r="AB65">
            <v>35810</v>
          </cell>
          <cell r="AC65">
            <v>35809</v>
          </cell>
          <cell r="AD65">
            <v>1</v>
          </cell>
          <cell r="AE65" t="str">
            <v>453-30-3124</v>
          </cell>
          <cell r="AF65" t="str">
            <v xml:space="preserve"> 80-40 "G-22" LTSA W/A-RYTE 3-1/2" 9.3# HYDRIL CS-CB BOX X</v>
          </cell>
          <cell r="AG65" t="str">
            <v>453-30</v>
          </cell>
          <cell r="AH65">
            <v>35810</v>
          </cell>
          <cell r="AI65">
            <v>35809</v>
          </cell>
          <cell r="AJ65">
            <v>1</v>
          </cell>
          <cell r="AK65" t="str">
            <v>810-80-44XX</v>
          </cell>
          <cell r="AL65" t="str">
            <v xml:space="preserve"> 3-1/2 X 2.81 'CMD' NON-ELAS SL 3-1/2" 9.3# HYDRIL CS BOX X PIN; JUST LIKE COMM # 810-80-44DH; 9 CR MATERIAL IS OKAY IF 13 CR UNAVAILABLE</v>
          </cell>
          <cell r="AM65" t="str">
            <v>810-80</v>
          </cell>
          <cell r="AN65">
            <v>35810</v>
          </cell>
          <cell r="AO65">
            <v>35809</v>
          </cell>
          <cell r="AP65">
            <v>2</v>
          </cell>
          <cell r="AQ65" t="str">
            <v>024323002</v>
          </cell>
          <cell r="AR65" t="str">
            <v xml:space="preserve"> 413-08 BTM SUB 80-40 3-1/2 9.3 # HCSP 22RC</v>
          </cell>
          <cell r="AS65" t="str">
            <v>413-08</v>
          </cell>
          <cell r="AT65">
            <v>35810</v>
          </cell>
          <cell r="AU65">
            <v>35809</v>
          </cell>
        </row>
        <row r="66">
          <cell r="C66" t="str">
            <v/>
          </cell>
          <cell r="F66">
            <v>35795</v>
          </cell>
          <cell r="G66" t="str">
            <v>Rishma Prasad</v>
          </cell>
          <cell r="H66" t="str">
            <v>LB</v>
          </cell>
          <cell r="I66">
            <v>6413</v>
          </cell>
          <cell r="J66" t="str">
            <v>Mobil Oil; Lease: St. Mary Land &amp; Expl; Field: Horseshoe Bayou; well # 2; this is a packer to be ordered per B Moody's instructions (rev. 3 of prejob sheet 12/31/97).</v>
          </cell>
          <cell r="L66">
            <v>1</v>
          </cell>
          <cell r="M66" t="str">
            <v>421-01-20QH</v>
          </cell>
          <cell r="N66" t="str">
            <v>Reference RO #s 147015 &amp; 151641; Size 396-26 Model "HE" RPP w/ 26 crush ring box; BMS S210 flow wetted; Just like 421-01-20QH; O.K to quickturn for 1.5 wk delivery  PLEASE.; no SOR needed per G Yuhr 12/31/97</v>
          </cell>
          <cell r="O66" t="str">
            <v>421-01</v>
          </cell>
          <cell r="P66">
            <v>35805</v>
          </cell>
          <cell r="Q66">
            <v>35804</v>
          </cell>
        </row>
        <row r="67">
          <cell r="C67" t="str">
            <v/>
          </cell>
          <cell r="F67">
            <v>35797</v>
          </cell>
          <cell r="G67" t="str">
            <v>Rishma Prasad</v>
          </cell>
          <cell r="H67" t="str">
            <v>LB</v>
          </cell>
          <cell r="I67">
            <v>6413</v>
          </cell>
          <cell r="J67" t="str">
            <v>Oxy USA, Crowell Lease, Masters Creek field, well # A-1; RISHMA</v>
          </cell>
          <cell r="L67">
            <v>1</v>
          </cell>
          <cell r="M67" t="str">
            <v>426-09-14XX</v>
          </cell>
          <cell r="N67" t="str">
            <v>SIZE 89-40 F-1 RPP W/ 9 CR BODY (JUST LIKE 426-02-1401 EXCEPT WITH 9 CR BODY 024323105 OR JUST LIKE 42609-14QE, -14QF, OR 14QG OR JUST LIKE 426-09-14DB</v>
          </cell>
          <cell r="O67" t="str">
            <v>426-09</v>
          </cell>
          <cell r="P67">
            <v>35810</v>
          </cell>
          <cell r="Q67">
            <v>35809</v>
          </cell>
          <cell r="R67">
            <v>1</v>
          </cell>
          <cell r="S67" t="str">
            <v>02-43234-XX</v>
          </cell>
          <cell r="T67" t="str">
            <v>SIZE 89-40 MODEL 'B' GUIDE W/ 9 CR (LIKE 02-43234-QD)</v>
          </cell>
          <cell r="V67">
            <v>35810</v>
          </cell>
          <cell r="W67">
            <v>35809</v>
          </cell>
          <cell r="X67">
            <v>1</v>
          </cell>
          <cell r="Y67" t="str">
            <v>02-47472-16</v>
          </cell>
          <cell r="Z67" t="str">
            <v>SIZE 80-40 SEAL 10' LONG - 9 CR</v>
          </cell>
          <cell r="AB67">
            <v>35810</v>
          </cell>
          <cell r="AC67">
            <v>35809</v>
          </cell>
          <cell r="AD67">
            <v>1</v>
          </cell>
          <cell r="AE67" t="str">
            <v>02-47472-93</v>
          </cell>
          <cell r="AF67" t="str">
            <v>SIZE 80-40 SEAL 15' LONG - 9 CR</v>
          </cell>
          <cell r="AH67">
            <v>35810</v>
          </cell>
          <cell r="AI67">
            <v>35809</v>
          </cell>
          <cell r="AJ67">
            <v>1</v>
          </cell>
          <cell r="AK67" t="str">
            <v>02-43229-XX</v>
          </cell>
          <cell r="AL67" t="str">
            <v>SIZE 80-40 CONCENTRIC COUPLING - 9 CR (LIKE 02-43229-07QA)</v>
          </cell>
          <cell r="AN67">
            <v>35810</v>
          </cell>
          <cell r="AO67">
            <v>35809</v>
          </cell>
          <cell r="AP67">
            <v>1</v>
          </cell>
          <cell r="AQ67" t="str">
            <v>02-43230-XX</v>
          </cell>
          <cell r="AR67" t="str">
            <v>SIZE 80-40 SEAL BORE CROSSOVER W/ BLANK FOR 3 1/2" 12.95# PH-6 PIN - 9 CR (LIKE 02-43230-QA4)</v>
          </cell>
          <cell r="AT67">
            <v>35810</v>
          </cell>
          <cell r="AU67">
            <v>35809</v>
          </cell>
          <cell r="AV67">
            <v>1</v>
          </cell>
          <cell r="AW67" t="str">
            <v>469-21-36XX</v>
          </cell>
          <cell r="AX67" t="str">
            <v>WIRELINE ENTRY GUIDE W/ BLANK FOR 3 1/2" 12.95# PH-6 BOX THREAD W/ 4.75" OD</v>
          </cell>
          <cell r="AY67" t="str">
            <v>469-21</v>
          </cell>
          <cell r="AZ67">
            <v>35810</v>
          </cell>
          <cell r="BA67">
            <v>35809</v>
          </cell>
          <cell r="BB67">
            <v>1</v>
          </cell>
          <cell r="BC67" t="str">
            <v>453-30-31XX</v>
          </cell>
          <cell r="BD67" t="str">
            <v>SIZE 80-40 LTSA W/ 3 1/2" 9.2# HYDRIL CSCB BOX ON BMS S501 LOCATOR SUB, 2 ARTYE SEAL UNITS W/ BMS S210 METAL GOODS, 2 BMS S501 SPACER TUBES @ 10' EACH, 4 SEAL UNITS W/ ARYTE W/ BMS S210 METAL GOODS X 1/2 MULE SHOE; TOTAL LENGTH APPROX 25'</v>
          </cell>
          <cell r="BE67" t="str">
            <v>453-30</v>
          </cell>
          <cell r="BF67">
            <v>35810</v>
          </cell>
          <cell r="BG67">
            <v>35809</v>
          </cell>
        </row>
        <row r="68">
          <cell r="C68" t="str">
            <v/>
          </cell>
          <cell r="F68">
            <v>35801</v>
          </cell>
          <cell r="G68" t="str">
            <v>BENNY VINCENT</v>
          </cell>
          <cell r="H68" t="str">
            <v>LB</v>
          </cell>
          <cell r="I68">
            <v>6413</v>
          </cell>
          <cell r="J68" t="str">
            <v>GRADY CRAWFORD CONSTRUCTION</v>
          </cell>
          <cell r="K68" t="str">
            <v>WEEKS ISLAND DECOMMISSIONING PROJECT</v>
          </cell>
          <cell r="L68">
            <v>2</v>
          </cell>
          <cell r="M68">
            <v>300227702</v>
          </cell>
          <cell r="N68" t="str">
            <v xml:space="preserve">  SGL SET PIP/13.88 OD X 102         LG ELEM/RIB-SNGL ANCHOR UP-834     TUBE-834 COVER-SOLID PLUG/         3.50 ID/3.50 I.F. BOX X            PIN                             </v>
          </cell>
          <cell r="O68">
            <v>30022</v>
          </cell>
          <cell r="P68">
            <v>35826</v>
          </cell>
          <cell r="Q68">
            <v>35826</v>
          </cell>
          <cell r="R68">
            <v>2</v>
          </cell>
          <cell r="S68">
            <v>300017702</v>
          </cell>
          <cell r="T68" t="str">
            <v xml:space="preserve"> SGL SET PIP/13.88 OD X 63 LG ELEM.     RIB-ANCHOR UP/834 TUBE-834 COVER       SOLID PLUG/2.50 ID                   </v>
          </cell>
          <cell r="U68">
            <v>30001</v>
          </cell>
          <cell r="V68">
            <v>35826</v>
          </cell>
          <cell r="W68">
            <v>35826</v>
          </cell>
          <cell r="X68">
            <v>4</v>
          </cell>
          <cell r="Y68">
            <v>469503541</v>
          </cell>
          <cell r="Z68" t="str">
            <v xml:space="preserve"> BULL PLUG 3.500 EU 8RD BOX X   BLANK &amp; CHAMFERED  </v>
          </cell>
          <cell r="AA68">
            <v>46950</v>
          </cell>
          <cell r="AB68">
            <v>35826</v>
          </cell>
          <cell r="AC68">
            <v>35826</v>
          </cell>
          <cell r="AD68">
            <v>12</v>
          </cell>
          <cell r="AE68">
            <v>300016722</v>
          </cell>
          <cell r="AF68" t="str">
            <v xml:space="preserve"> SGL SET PIP/10.38 OD. X 63 LG ELEM/  RIB-ANCHOR UP/834 TUBE - 834 COVER/  BULL PLUG/2.50 ID                  </v>
          </cell>
          <cell r="AG68">
            <v>30001</v>
          </cell>
          <cell r="AH68">
            <v>35826</v>
          </cell>
          <cell r="AI68">
            <v>35826</v>
          </cell>
        </row>
        <row r="69">
          <cell r="C69" t="str">
            <v/>
          </cell>
          <cell r="F69">
            <v>35803</v>
          </cell>
          <cell r="G69" t="str">
            <v>BENNY VINCENT</v>
          </cell>
          <cell r="H69" t="str">
            <v>LB</v>
          </cell>
          <cell r="I69">
            <v>6413</v>
          </cell>
          <cell r="J69" t="str">
            <v>GRADY CRAWFORD CONSTRUCTION</v>
          </cell>
          <cell r="K69" t="str">
            <v>WEEKS ISLAND DECOMMISSIONING PROJECT</v>
          </cell>
          <cell r="L69">
            <v>2</v>
          </cell>
          <cell r="M69">
            <v>469503541</v>
          </cell>
          <cell r="N69" t="str">
            <v>BOOT 475</v>
          </cell>
          <cell r="O69">
            <v>46950</v>
          </cell>
          <cell r="P69">
            <v>35811</v>
          </cell>
        </row>
        <row r="70">
          <cell r="C70" t="str">
            <v/>
          </cell>
          <cell r="F70">
            <v>35808</v>
          </cell>
          <cell r="G70" t="str">
            <v>MCDONALD</v>
          </cell>
          <cell r="H70" t="str">
            <v>LB</v>
          </cell>
          <cell r="I70">
            <v>6413</v>
          </cell>
          <cell r="J70" t="str">
            <v>TEXACO, E. CAMERON 278-C, C-3, LB-291120</v>
          </cell>
          <cell r="K70" t="str">
            <v>REPLACE LOST IN HOLE TOOL</v>
          </cell>
          <cell r="L70">
            <v>1</v>
          </cell>
          <cell r="M70">
            <v>445217011</v>
          </cell>
          <cell r="N70" t="str">
            <v>MODEL SC SETTING TOOL.</v>
          </cell>
          <cell r="O70" t="str">
            <v>445-21</v>
          </cell>
          <cell r="P70">
            <v>35828</v>
          </cell>
          <cell r="Q70">
            <v>35828</v>
          </cell>
        </row>
        <row r="71">
          <cell r="C71" t="str">
            <v/>
          </cell>
          <cell r="F71">
            <v>35809</v>
          </cell>
          <cell r="G71" t="str">
            <v>Rishma Prasad</v>
          </cell>
          <cell r="H71" t="str">
            <v>LB</v>
          </cell>
          <cell r="I71">
            <v>6413</v>
          </cell>
          <cell r="J71" t="str">
            <v>This packer is to replenish the Chevron (SST 241319) customer stock packer that we borrowed for Phillips W Cameron 118 #A-17 SST 325291; please mark this packer "Chevron customer stock - sold on SST 241319".</v>
          </cell>
          <cell r="L71">
            <v>1</v>
          </cell>
          <cell r="M71" t="str">
            <v>4090794QB</v>
          </cell>
          <cell r="N71" t="str">
            <v xml:space="preserve"> 194SAB60 X 47 "SAB-3"           4-1/2" 12.75# CST-C PIN  </v>
          </cell>
          <cell r="O71" t="str">
            <v>409-07</v>
          </cell>
          <cell r="P71">
            <v>35841</v>
          </cell>
          <cell r="Q71">
            <v>35840</v>
          </cell>
        </row>
        <row r="72">
          <cell r="C72" t="str">
            <v/>
          </cell>
          <cell r="F72">
            <v>35452</v>
          </cell>
          <cell r="G72" t="str">
            <v>BENNY VINCENT</v>
          </cell>
          <cell r="H72" t="str">
            <v>LB</v>
          </cell>
          <cell r="I72">
            <v>6413</v>
          </cell>
          <cell r="J72" t="str">
            <v>GRADY CRAWFORD CONSTRUCTION</v>
          </cell>
          <cell r="K72" t="str">
            <v>WEEKS ISLAND DECOMMISSIONING PROJECT</v>
          </cell>
          <cell r="L72">
            <v>2</v>
          </cell>
          <cell r="M72">
            <v>469503541</v>
          </cell>
          <cell r="N72" t="str">
            <v xml:space="preserve"> BULL PLUG 3.500 EU 8RD BOX X   BLANK &amp; CHAMFERED   </v>
          </cell>
          <cell r="O72">
            <v>46950</v>
          </cell>
          <cell r="P72">
            <v>35826</v>
          </cell>
          <cell r="Q72" t="str">
            <v>01/91/97</v>
          </cell>
        </row>
        <row r="73">
          <cell r="C73" t="str">
            <v/>
          </cell>
          <cell r="F73">
            <v>35817</v>
          </cell>
          <cell r="G73" t="str">
            <v>gary</v>
          </cell>
          <cell r="H73" t="str">
            <v>LB</v>
          </cell>
          <cell r="I73">
            <v>6413</v>
          </cell>
          <cell r="J73" t="str">
            <v>TEXACO E.I.339  C-18</v>
          </cell>
          <cell r="K73" t="str">
            <v>SHIP BY 2-06-98</v>
          </cell>
          <cell r="L73">
            <v>2</v>
          </cell>
          <cell r="M73">
            <v>299891797</v>
          </cell>
          <cell r="N73" t="str">
            <v>7' vam box x 7" 29#  STL pin  p110</v>
          </cell>
          <cell r="O73">
            <v>29989</v>
          </cell>
          <cell r="P73">
            <v>35829</v>
          </cell>
          <cell r="Q73">
            <v>35829</v>
          </cell>
        </row>
        <row r="74">
          <cell r="C74" t="str">
            <v/>
          </cell>
          <cell r="F74">
            <v>35821</v>
          </cell>
          <cell r="G74" t="str">
            <v>GARY</v>
          </cell>
          <cell r="I74">
            <v>6413</v>
          </cell>
          <cell r="J74" t="str">
            <v>Bulington Resources L. C. Landry  Etal #2</v>
          </cell>
          <cell r="K74" t="str">
            <v>SHIP BY  2-10-98</v>
          </cell>
          <cell r="L74">
            <v>1</v>
          </cell>
          <cell r="M74">
            <v>29989</v>
          </cell>
          <cell r="N74" t="str">
            <v xml:space="preserve">7.625 VAM BOX X  7.625 39# HYD. SLX PIN    Q-125 </v>
          </cell>
          <cell r="O74">
            <v>29989</v>
          </cell>
          <cell r="P74">
            <v>35836</v>
          </cell>
          <cell r="Q74">
            <v>35837</v>
          </cell>
        </row>
        <row r="75">
          <cell r="C75" t="str">
            <v/>
          </cell>
          <cell r="F75">
            <v>35821</v>
          </cell>
          <cell r="G75" t="str">
            <v>GARY</v>
          </cell>
          <cell r="H75" t="str">
            <v>LB</v>
          </cell>
          <cell r="I75">
            <v>6413</v>
          </cell>
          <cell r="J75" t="str">
            <v>U.M.C. PETROLEUM W.C.528 #2</v>
          </cell>
          <cell r="K75" t="str">
            <v>SHIP BY 1-30-98  ???</v>
          </cell>
          <cell r="L75">
            <v>1</v>
          </cell>
          <cell r="M75">
            <v>299891994</v>
          </cell>
          <cell r="N75" t="str">
            <v>7" VAM BOX X 7" 35# STL PIN  P-110</v>
          </cell>
          <cell r="O75">
            <v>29989</v>
          </cell>
          <cell r="P75">
            <v>35825</v>
          </cell>
          <cell r="Q75">
            <v>35826</v>
          </cell>
          <cell r="R75">
            <v>1</v>
          </cell>
          <cell r="S75" t="str">
            <v>266-55-0352</v>
          </cell>
          <cell r="T75" t="str">
            <v>#2 LANDING COLLER  P-110</v>
          </cell>
          <cell r="U75">
            <v>26655</v>
          </cell>
          <cell r="X75">
            <v>1</v>
          </cell>
          <cell r="Y75" t="str">
            <v>100-70</v>
          </cell>
          <cell r="Z75" t="str">
            <v>"V" SHOE 7" 35# STL BOX  P-110</v>
          </cell>
          <cell r="AA75">
            <v>10070</v>
          </cell>
        </row>
        <row r="76">
          <cell r="C76" t="str">
            <v/>
          </cell>
          <cell r="F76">
            <v>35822</v>
          </cell>
          <cell r="G76" t="str">
            <v>GARY</v>
          </cell>
          <cell r="H76" t="str">
            <v>LB</v>
          </cell>
          <cell r="I76">
            <v>6413</v>
          </cell>
          <cell r="J76" t="str">
            <v>NEWFIELD EXP. B-5 ST  2 BYPASS</v>
          </cell>
          <cell r="K76" t="str">
            <v>SHIP BY  2-6-98</v>
          </cell>
          <cell r="L76">
            <v>1</v>
          </cell>
          <cell r="M76">
            <v>29989</v>
          </cell>
          <cell r="N76" t="str">
            <v>5' VAM BOX X  5" 15# STL PIN  P-110 OR N-80</v>
          </cell>
          <cell r="O76">
            <v>29989</v>
          </cell>
          <cell r="P76">
            <v>35832</v>
          </cell>
          <cell r="Q76">
            <v>35832</v>
          </cell>
          <cell r="R76">
            <v>1</v>
          </cell>
          <cell r="S76">
            <v>26655</v>
          </cell>
          <cell r="T76" t="str">
            <v>#2 LANDING COLLER  5' 15# STL  BOX X PIN W/ BAFFLE PLATE  P-110  OR N-80</v>
          </cell>
          <cell r="U76">
            <v>26655</v>
          </cell>
          <cell r="V76">
            <v>35832</v>
          </cell>
          <cell r="W76">
            <v>35833</v>
          </cell>
          <cell r="X76">
            <v>1</v>
          </cell>
          <cell r="Y76" t="str">
            <v>101-75</v>
          </cell>
          <cell r="Z76" t="str">
            <v>SINGLE VALVE FLOAT COLLAR  5" 15#  STL BOX  X  PIN P-110 OR  N-80</v>
          </cell>
          <cell r="AA76">
            <v>10175</v>
          </cell>
          <cell r="AB76">
            <v>35832</v>
          </cell>
          <cell r="AC76">
            <v>35833</v>
          </cell>
          <cell r="AD76">
            <v>1</v>
          </cell>
          <cell r="AE76">
            <v>10070</v>
          </cell>
          <cell r="AF76" t="str">
            <v>DOUBLE  VALVE "V" SHOE 5" 15# STL BOX  P-110 OR N-80</v>
          </cell>
        </row>
        <row r="77">
          <cell r="C77" t="str">
            <v/>
          </cell>
          <cell r="F77">
            <v>35822</v>
          </cell>
          <cell r="G77" t="str">
            <v>GARY</v>
          </cell>
          <cell r="H77" t="str">
            <v>LB</v>
          </cell>
          <cell r="I77">
            <v>6413</v>
          </cell>
          <cell r="J77" t="str">
            <v>A.D.T.I.  EUGENE ISLAND 58  #56</v>
          </cell>
          <cell r="K77" t="str">
            <v>WELL ADVISE ON SHIPPING</v>
          </cell>
          <cell r="L77">
            <v>1</v>
          </cell>
          <cell r="M77">
            <v>299892436</v>
          </cell>
          <cell r="N77" t="str">
            <v>BUSHING, TYPE CROSSOVER, 7.625 IN.  VAM BOX X 7.625" 33.7# HYD SLX PIN P-110</v>
          </cell>
          <cell r="O77">
            <v>29989</v>
          </cell>
          <cell r="P77" t="str">
            <v>WELL ADVISE</v>
          </cell>
          <cell r="R77">
            <v>1</v>
          </cell>
          <cell r="S77">
            <v>26673</v>
          </cell>
          <cell r="T77" t="str">
            <v>7.625" 33.7# LANDING COLLAR  PT-2 TYPE W/ BAFFLE PLATE  P-110</v>
          </cell>
          <cell r="U77">
            <v>26673</v>
          </cell>
          <cell r="X77">
            <v>1</v>
          </cell>
          <cell r="Y77" t="str">
            <v>101-70-3096</v>
          </cell>
          <cell r="Z77" t="str">
            <v>DOUBLE VALVE FLOAT COLLAR  7.625" 33.7#  P-110</v>
          </cell>
          <cell r="AD77">
            <v>1</v>
          </cell>
          <cell r="AE77">
            <v>10170</v>
          </cell>
          <cell r="AF77" t="str">
            <v xml:space="preserve">DOUBLE  VALVE "V" SHOE 7.625" 33.7# BOX  P-110 </v>
          </cell>
          <cell r="AG77">
            <v>10170</v>
          </cell>
        </row>
        <row r="78">
          <cell r="C78" t="str">
            <v/>
          </cell>
          <cell r="F78">
            <v>35823</v>
          </cell>
          <cell r="G78" t="str">
            <v>Cody Flemming</v>
          </cell>
          <cell r="H78" t="str">
            <v>LB</v>
          </cell>
          <cell r="I78">
            <v>6413</v>
          </cell>
          <cell r="J78" t="str">
            <v>AMOCO HESS #1</v>
          </cell>
          <cell r="K78" t="str">
            <v>SHIP BY 02-12-98</v>
          </cell>
          <cell r="L78">
            <v>2</v>
          </cell>
          <cell r="M78">
            <v>24747115</v>
          </cell>
          <cell r="N78" t="str">
            <v xml:space="preserve">SIZE 40-30 SEAL BORE EXTENSION 13CR 10' LONG </v>
          </cell>
          <cell r="O78">
            <v>47471</v>
          </cell>
          <cell r="P78">
            <v>35839</v>
          </cell>
          <cell r="Q78">
            <v>35839</v>
          </cell>
          <cell r="R78">
            <v>1</v>
          </cell>
          <cell r="S78">
            <v>24321704</v>
          </cell>
          <cell r="T78" t="str">
            <v>SIZE 40-30 CONCENTRIC COUPLING 13CR</v>
          </cell>
          <cell r="U78">
            <v>43217</v>
          </cell>
          <cell r="V78">
            <v>35839</v>
          </cell>
          <cell r="W78">
            <v>35839</v>
          </cell>
        </row>
        <row r="79">
          <cell r="C79" t="str">
            <v/>
          </cell>
          <cell r="F79">
            <v>35823</v>
          </cell>
          <cell r="G79" t="str">
            <v>Cody Flemming</v>
          </cell>
          <cell r="H79" t="str">
            <v>LB</v>
          </cell>
          <cell r="I79">
            <v>6413</v>
          </cell>
          <cell r="J79" t="str">
            <v>AMOCO HESS #1</v>
          </cell>
          <cell r="K79" t="str">
            <v>SHIP BY 02-12-98</v>
          </cell>
          <cell r="L79">
            <v>1</v>
          </cell>
          <cell r="M79">
            <v>426034300</v>
          </cell>
          <cell r="N79" t="str">
            <v>43-30 "F-1" PACKER</v>
          </cell>
          <cell r="O79" t="str">
            <v>426-32</v>
          </cell>
          <cell r="P79">
            <v>35839</v>
          </cell>
          <cell r="Q79">
            <v>35839</v>
          </cell>
          <cell r="R79">
            <v>1</v>
          </cell>
          <cell r="S79">
            <v>24321207</v>
          </cell>
          <cell r="T79" t="str">
            <v>41-30 "B" GUIDE FOR SEAL BORE EXTENSION</v>
          </cell>
          <cell r="U79">
            <v>43212</v>
          </cell>
          <cell r="V79">
            <v>35839</v>
          </cell>
          <cell r="W79">
            <v>35839</v>
          </cell>
        </row>
        <row r="80">
          <cell r="C80" t="str">
            <v/>
          </cell>
          <cell r="F80">
            <v>35823</v>
          </cell>
          <cell r="G80" t="str">
            <v>BENNY VINCENT</v>
          </cell>
          <cell r="H80" t="str">
            <v>LB</v>
          </cell>
          <cell r="I80">
            <v>5413</v>
          </cell>
          <cell r="J80" t="str">
            <v>STOCK</v>
          </cell>
          <cell r="K80" t="str">
            <v>BE SURE ITEM 8 HAS NICKEL PLATED I.D.</v>
          </cell>
          <cell r="L80">
            <v>100</v>
          </cell>
          <cell r="M80" t="str">
            <v>WVPSTR010</v>
          </cell>
          <cell r="N80" t="str">
            <v xml:space="preserve"> PARKER T-SEAL WITH TEFLON B-U RINGS   NITRILE N4115                       </v>
          </cell>
          <cell r="O80">
            <v>43714</v>
          </cell>
          <cell r="P80" t="str">
            <v xml:space="preserve"> </v>
          </cell>
          <cell r="Q80">
            <v>35830</v>
          </cell>
          <cell r="R80">
            <v>100</v>
          </cell>
          <cell r="S80" t="str">
            <v>WWV120H30</v>
          </cell>
          <cell r="T80" t="str">
            <v>O-RINGS</v>
          </cell>
          <cell r="W80">
            <v>35830</v>
          </cell>
          <cell r="X80">
            <v>100</v>
          </cell>
          <cell r="Y80" t="str">
            <v>WWB111H40</v>
          </cell>
          <cell r="Z80" t="str">
            <v>O-RING</v>
          </cell>
          <cell r="AC80">
            <v>35830</v>
          </cell>
          <cell r="AD80">
            <v>100</v>
          </cell>
          <cell r="AE80" t="str">
            <v>WWB222H40</v>
          </cell>
          <cell r="AF80" t="str">
            <v>O-RING</v>
          </cell>
          <cell r="AI80">
            <v>35830</v>
          </cell>
          <cell r="AJ80">
            <v>1</v>
          </cell>
          <cell r="AK80">
            <v>340791701</v>
          </cell>
          <cell r="AL80" t="str">
            <v>THRU-TUBING SWIVEL, 1.69 IN. TOOL OD W/1.250 O.D. ACME BOX X PIN THREAD  340791701</v>
          </cell>
          <cell r="AM80">
            <v>34079</v>
          </cell>
          <cell r="AO80">
            <v>35830</v>
          </cell>
          <cell r="AP80">
            <v>2</v>
          </cell>
          <cell r="AQ80">
            <v>46601100</v>
          </cell>
          <cell r="AR80" t="str">
            <v xml:space="preserve"> FISHING NECK FOR 2.13 OD BELLVILLE  PULL DISCONNECT                   </v>
          </cell>
          <cell r="AS80">
            <v>33080</v>
          </cell>
          <cell r="AU80">
            <v>35830</v>
          </cell>
          <cell r="AV80">
            <v>1</v>
          </cell>
          <cell r="AW80">
            <v>46837200</v>
          </cell>
          <cell r="AX80" t="str">
            <v xml:space="preserve">FISHING NECK F/1.69 O.D.           BELLEVILLE TYPE PULL DISCONNECT   </v>
          </cell>
          <cell r="AY80">
            <v>33080</v>
          </cell>
          <cell r="BA80">
            <v>35830</v>
          </cell>
          <cell r="BB80">
            <v>4</v>
          </cell>
          <cell r="BC80">
            <v>46151800</v>
          </cell>
          <cell r="BD80" t="str">
            <v xml:space="preserve"> 2.13 HOUSING W/NICKEL PLATED I.D.</v>
          </cell>
          <cell r="BG80">
            <v>35830</v>
          </cell>
          <cell r="BH80">
            <v>100</v>
          </cell>
          <cell r="BI80" t="str">
            <v>WWGE1032B</v>
          </cell>
          <cell r="BJ80" t="str">
            <v>BRASS SHEAR SCREW</v>
          </cell>
          <cell r="BM80">
            <v>35830</v>
          </cell>
          <cell r="BN80">
            <v>200</v>
          </cell>
          <cell r="BO80">
            <v>47481700</v>
          </cell>
          <cell r="BP80" t="str">
            <v xml:space="preserve"> SHEAR SCREW MODIFIED, 1/4 IN.-20 NC X .375 LONG   F/HYDRAULIC RELEASE SUB SUB-ASSEMBLY, .2489 TOOL</v>
          </cell>
        </row>
        <row r="81">
          <cell r="C81" t="str">
            <v/>
          </cell>
          <cell r="F81">
            <v>35824</v>
          </cell>
          <cell r="G81" t="str">
            <v>David McDonald</v>
          </cell>
          <cell r="H81" t="str">
            <v>LB</v>
          </cell>
          <cell r="I81">
            <v>6413</v>
          </cell>
          <cell r="J81" t="str">
            <v>MOBIL OIL ST. MARY LAND # 2</v>
          </cell>
          <cell r="K81" t="str">
            <v>SHIP BY  2-10-98</v>
          </cell>
          <cell r="L81">
            <v>1</v>
          </cell>
          <cell r="M81">
            <v>44603</v>
          </cell>
          <cell r="N81" t="str">
            <v>40-26 L-22S SEAL ASSEMBLY</v>
          </cell>
        </row>
        <row r="82">
          <cell r="C82" t="str">
            <v/>
          </cell>
          <cell r="F82">
            <v>35824</v>
          </cell>
          <cell r="G82" t="str">
            <v>BENNY VINCENT</v>
          </cell>
          <cell r="H82" t="str">
            <v>LB</v>
          </cell>
          <cell r="I82">
            <v>6413</v>
          </cell>
          <cell r="K82" t="str">
            <v>REGULAR FRIEGHT</v>
          </cell>
          <cell r="L82">
            <v>10</v>
          </cell>
          <cell r="M82" t="str">
            <v>WVJSTP047</v>
          </cell>
          <cell r="N82" t="str">
            <v xml:space="preserve">FLEX PLUG, 2-7/8 TUBING W/2.563 OD., 1/2"-13 UNC  BOX X PIN THREAD, 70 DUROMETER NITRILE RUBBER    </v>
          </cell>
          <cell r="Q82">
            <v>35830</v>
          </cell>
          <cell r="R82">
            <v>10</v>
          </cell>
          <cell r="S82" t="str">
            <v>WVJSTP051</v>
          </cell>
          <cell r="T82" t="str">
            <v xml:space="preserve"> FLEX PLUG, 2-7/8 TUBING W/2.563 OD., 1/2"-13 UNC   BOX X PIN THREAD, 70 DUROMETER NITRILE RUBBER    </v>
          </cell>
          <cell r="W82">
            <v>35830</v>
          </cell>
        </row>
        <row r="83">
          <cell r="C83" t="str">
            <v/>
          </cell>
          <cell r="F83">
            <v>35825</v>
          </cell>
          <cell r="G83" t="str">
            <v>David McDonald</v>
          </cell>
          <cell r="H83" t="str">
            <v>LB</v>
          </cell>
          <cell r="I83">
            <v>6413</v>
          </cell>
          <cell r="J83" t="str">
            <v>NEWFIELD , ARCENEAUX # 1</v>
          </cell>
          <cell r="K83" t="str">
            <v>REGULAR FRIEGHT</v>
          </cell>
          <cell r="L83">
            <v>1</v>
          </cell>
          <cell r="M83" t="str">
            <v>WWB336V40</v>
          </cell>
          <cell r="O83">
            <v>413093272</v>
          </cell>
          <cell r="P83">
            <v>35829</v>
          </cell>
          <cell r="R83">
            <v>1</v>
          </cell>
          <cell r="S83" t="str">
            <v>WWB235H20</v>
          </cell>
          <cell r="X83">
            <v>2</v>
          </cell>
          <cell r="Y83" t="str">
            <v>WWD336H40</v>
          </cell>
          <cell r="Z83" t="str">
            <v>336 O-RING BACKUP</v>
          </cell>
          <cell r="AD83">
            <v>6</v>
          </cell>
          <cell r="AE83" t="str">
            <v>WWGE18ODB</v>
          </cell>
          <cell r="AJ83">
            <v>1</v>
          </cell>
          <cell r="AK83">
            <v>14066100</v>
          </cell>
          <cell r="AL83" t="str">
            <v>32FA30 LOWER SLIP</v>
          </cell>
          <cell r="AP83">
            <v>1</v>
          </cell>
          <cell r="AQ83">
            <v>15278700</v>
          </cell>
          <cell r="AR83" t="str">
            <v>32-25, BODY LOCK RING</v>
          </cell>
          <cell r="AV83">
            <v>1</v>
          </cell>
          <cell r="AW83">
            <v>15351000</v>
          </cell>
          <cell r="AX83" t="str">
            <v>30 FILLER RING</v>
          </cell>
          <cell r="BB83">
            <v>1</v>
          </cell>
          <cell r="BC83">
            <v>15517300</v>
          </cell>
          <cell r="BD83" t="str">
            <v>32, UPPER CONE</v>
          </cell>
          <cell r="BH83">
            <v>2</v>
          </cell>
          <cell r="BI83">
            <v>15958000</v>
          </cell>
          <cell r="BJ83" t="str">
            <v>32, CONE RING</v>
          </cell>
          <cell r="BN83">
            <v>2</v>
          </cell>
          <cell r="BO83">
            <v>15958100</v>
          </cell>
          <cell r="BP83" t="str">
            <v>32, PACKER RING</v>
          </cell>
        </row>
        <row r="84">
          <cell r="C84" t="str">
            <v/>
          </cell>
          <cell r="F84">
            <v>35828</v>
          </cell>
          <cell r="G84" t="str">
            <v>David McDonald</v>
          </cell>
          <cell r="H84" t="str">
            <v>LB</v>
          </cell>
          <cell r="I84">
            <v>6413</v>
          </cell>
          <cell r="J84" t="str">
            <v>MOBIL OIL CORP. KIDDER  # 1</v>
          </cell>
          <cell r="K84" t="str">
            <v>NEED BEFORE 02-11-98</v>
          </cell>
          <cell r="L84">
            <v>1</v>
          </cell>
          <cell r="M84" t="str">
            <v>421014202QA</v>
          </cell>
          <cell r="N84" t="str">
            <v>SIZE, 546-32, MODEL HE RETAINER PROD. PACKER WITH 13 CR. FLOW WETTED.</v>
          </cell>
          <cell r="O84" t="str">
            <v>421-01</v>
          </cell>
          <cell r="P84">
            <v>35836</v>
          </cell>
        </row>
        <row r="85">
          <cell r="C85" t="str">
            <v/>
          </cell>
          <cell r="F85">
            <v>35828</v>
          </cell>
          <cell r="G85" t="str">
            <v>H.MELVILLE</v>
          </cell>
          <cell r="H85" t="str">
            <v>LB</v>
          </cell>
          <cell r="I85">
            <v>6413</v>
          </cell>
          <cell r="J85" t="str">
            <v xml:space="preserve">FORCE  H.I. 551 WELLS C-3 &amp; C-4           </v>
          </cell>
          <cell r="K85" t="str">
            <v>NEED BEFORE 03/01/98</v>
          </cell>
          <cell r="L85">
            <v>2</v>
          </cell>
          <cell r="M85">
            <v>294010029</v>
          </cell>
          <cell r="N85" t="str">
            <v xml:space="preserve">                                                 
RS NIPPLE, BROWN TYPE, W/RPSA PROFILE, 7.000 IN. 
8RL PIN X 7.000 IN. 8RL BHT MOD. BOX, 7.750 IN.  
TOOL OD, 6.188 IN. TOOL ID, 110 KSI MYS          </v>
          </cell>
          <cell r="O85">
            <v>29401</v>
          </cell>
          <cell r="P85">
            <v>35855</v>
          </cell>
          <cell r="Q85">
            <v>35855</v>
          </cell>
          <cell r="R85">
            <v>4</v>
          </cell>
          <cell r="S85">
            <v>296240024</v>
          </cell>
          <cell r="T85" t="str">
            <v xml:space="preserve">LINER PACKER, TYPE 'ZXP', W/HR PROFILE,W/10 FT.   
TYPE III EXT., 7.000 IN. 8RL BOX DOWN, X 9.625 IN.
 47.0-53.50 LB/FT, 8.250 OD X 7.500 ID EXT., 8.312
 TOOL OD, 6.278 TOOL ID, 110 KSI MIN, (40,000 LBS 
SETTING FORCE)                                    </v>
          </cell>
          <cell r="U85">
            <v>29624</v>
          </cell>
          <cell r="V85">
            <v>35855</v>
          </cell>
          <cell r="W85">
            <v>35855</v>
          </cell>
          <cell r="X85">
            <v>2</v>
          </cell>
          <cell r="Y85">
            <v>292030008</v>
          </cell>
          <cell r="Z85" t="str">
            <v xml:space="preserve">LINER HANGER, BROWN TYPE HMC, 7 IN. 29 LB/FT X 9 
5/8 IN. 47-53.5 LB/FT, W/8RL PIN X PIN, 8.313 IN.
OD, 6.184 IN. ID, P-110                          </v>
          </cell>
          <cell r="AA85">
            <v>29203</v>
          </cell>
          <cell r="AB85">
            <v>35855</v>
          </cell>
          <cell r="AC85">
            <v>35855</v>
          </cell>
          <cell r="AD85">
            <v>2</v>
          </cell>
          <cell r="AE85">
            <v>299891940</v>
          </cell>
          <cell r="AF85" t="str">
            <v xml:space="preserve"> BUSHING,CROSSOVER, 7.000 IN. 8RL BOX X 7.000 IN. 
 29.00 LB/FT GBTCC PIN, 7.656 IN. TOOL OD, 6.188  
 IN. TOOL ID, 14 IN. LONG, 110KSI MYS             </v>
          </cell>
          <cell r="AG85">
            <v>29989</v>
          </cell>
          <cell r="AH85">
            <v>35855</v>
          </cell>
          <cell r="AI85">
            <v>35855</v>
          </cell>
          <cell r="AJ85">
            <v>2</v>
          </cell>
          <cell r="AK85">
            <v>266730120</v>
          </cell>
          <cell r="AL85" t="str">
            <v xml:space="preserve"> LANDING COLLAR, W/BAFFLE, 7.000 IN. 26-29.00 LB/FT 
 BUTTRESS BOX X PIN, 7.656 IN. TOOL OD, 6.250 IN.   
 TOOL ID, F/1.750 IN. DIA. BALL, 110 KSI MYS        </v>
          </cell>
          <cell r="AM85">
            <v>26673</v>
          </cell>
          <cell r="AN85">
            <v>35855</v>
          </cell>
          <cell r="AO85">
            <v>35855</v>
          </cell>
        </row>
        <row r="86">
          <cell r="C86" t="str">
            <v/>
          </cell>
          <cell r="F86">
            <v>35829</v>
          </cell>
          <cell r="G86" t="str">
            <v>Gary Hoffpauir</v>
          </cell>
          <cell r="H86" t="str">
            <v>LB</v>
          </cell>
          <cell r="I86">
            <v>6413</v>
          </cell>
          <cell r="J86" t="str">
            <v>AMOCO (PENNINGTON #8)PORT HUDSON</v>
          </cell>
          <cell r="K86" t="str">
            <v>NEED BEFORE 2-26-98</v>
          </cell>
          <cell r="L86">
            <v>1</v>
          </cell>
          <cell r="M86">
            <v>295314257</v>
          </cell>
          <cell r="N86" t="str">
            <v xml:space="preserve">LINER SETTING SLEEVE, RH W/10 FT PBR EXT. 5.000
15-18.00 LB/FT VAM B0X, 5.750 IN. EXT. OD 5.250
IN. EXT. ID, 4.438 IN. TOOL ID, (4.646 IN. OD  
FLOAT NUT, COMM. NO. 09-12149-50) W/6.375 IN.  
CENT. RING OD, 110 KSI MYS                     </v>
          </cell>
          <cell r="O86">
            <v>29531</v>
          </cell>
          <cell r="P86">
            <v>35852</v>
          </cell>
          <cell r="Q86">
            <v>35852</v>
          </cell>
          <cell r="R86">
            <v>1</v>
          </cell>
          <cell r="S86">
            <v>292100486</v>
          </cell>
          <cell r="T86" t="str">
            <v xml:space="preserve">LINER HANGER, BROWN TYPE CMC, 5 IN. 18 LB/FT X 7   
5/8 IN. 39 LB/FT CSG, VAM PIN X PIN, 6.375 IN. OD, 
WITH RIGHT HAND SET JAY, P110                      </v>
          </cell>
          <cell r="U86">
            <v>29210</v>
          </cell>
          <cell r="V86">
            <v>35852</v>
          </cell>
          <cell r="W86">
            <v>35852</v>
          </cell>
          <cell r="X86">
            <v>1</v>
          </cell>
          <cell r="Y86">
            <v>299891680</v>
          </cell>
          <cell r="Z86" t="str">
            <v xml:space="preserve">                                                    
 CROSSOVER BUSHING, 5.000 IN.18.0 LB/FT VAM BOX X   
 5.0 IN. 18# HYDRIL SUPREME "LX" PIN, 5.563 IN TOOL 
 OD, 4.196 IN TOOL ID, 110 KSI MYS                  </v>
          </cell>
          <cell r="AA86">
            <v>29989</v>
          </cell>
          <cell r="AB86">
            <v>35852</v>
          </cell>
          <cell r="AC86">
            <v>35852</v>
          </cell>
          <cell r="AD86">
            <v>1</v>
          </cell>
          <cell r="AE86">
            <v>266720030</v>
          </cell>
          <cell r="AF86" t="str">
            <v xml:space="preserve">SLIMHOLE LANDING COLLAR SYSTEM, W/CERAMIC, TYPE I
 5.000 IN. 18.00 LB/FT HYD SLX BOX X PIN, W/ 1,50
 PSI INDICATOR SHEAR, SHEAR SCREWS, 5.105 IN. OD,
1.640 IN. ID, COMPLETE W/ TWO 1.812 PUMP DOWN    
PLUGS, 110 MYS                                   </v>
          </cell>
          <cell r="AG86">
            <v>26672</v>
          </cell>
          <cell r="AH86">
            <v>35852</v>
          </cell>
          <cell r="AI86">
            <v>35852</v>
          </cell>
        </row>
        <row r="87">
          <cell r="C87" t="str">
            <v/>
          </cell>
          <cell r="F87">
            <v>35829</v>
          </cell>
          <cell r="G87" t="str">
            <v>H.MELVILLE</v>
          </cell>
          <cell r="H87" t="str">
            <v>LB</v>
          </cell>
          <cell r="I87">
            <v>6413</v>
          </cell>
          <cell r="J87" t="str">
            <v xml:space="preserve">TOTAL MINATOME  ( ROSEMARY SCHUH) #2                                         </v>
          </cell>
          <cell r="K87" t="str">
            <v>NEED BEFORE 2/15/98</v>
          </cell>
          <cell r="L87">
            <v>2</v>
          </cell>
          <cell r="M87">
            <v>299892106</v>
          </cell>
          <cell r="N87" t="str">
            <v xml:space="preserve">BUSHING, BROWN TYPE CROSSOVER, 9.625 IN. VAM BOX X 
9.625 IN. 53.50 LB/FT STL PIN, 10.250 IN. TOOL OD, 
8.535 IN. TOOL ID, 110KSI MYS                      </v>
          </cell>
          <cell r="O87">
            <v>29989</v>
          </cell>
          <cell r="P87">
            <v>35841</v>
          </cell>
          <cell r="Q87">
            <v>35841</v>
          </cell>
          <cell r="R87">
            <v>1</v>
          </cell>
          <cell r="S87">
            <v>266550510</v>
          </cell>
          <cell r="T87" t="str">
            <v xml:space="preserve">TYPE II LANDING COLLAR                          
LANDING COLLAR BROWN TYPE PT2, 9-5/8 IN. 53.5   
LB/FT STL BOX X PIN, 9.675 IN. OD, 8.565 IN. ID 
8.500, 2,650 PSI SHEAR, 110 KSI MYS             </v>
          </cell>
          <cell r="U87">
            <v>26655</v>
          </cell>
          <cell r="V87">
            <v>35841</v>
          </cell>
          <cell r="W87">
            <v>35841</v>
          </cell>
          <cell r="X87">
            <v>1</v>
          </cell>
          <cell r="Y87">
            <v>100703130</v>
          </cell>
          <cell r="Z87" t="str">
            <v xml:space="preserve">SET SHOE, TYPE V, 9.625 IN. 53.50 LB/FT STL BOX, 
9.675 IN. OD, 8.625 IN. ID, 110 KSI MYS          </v>
          </cell>
          <cell r="AA87">
            <v>10070</v>
          </cell>
          <cell r="AB87">
            <v>35841</v>
          </cell>
          <cell r="AC87">
            <v>35841</v>
          </cell>
        </row>
        <row r="88">
          <cell r="C88" t="str">
            <v/>
          </cell>
          <cell r="F88">
            <v>35831</v>
          </cell>
          <cell r="G88" t="str">
            <v>DRW</v>
          </cell>
          <cell r="H88" t="str">
            <v>LB</v>
          </cell>
          <cell r="I88">
            <v>6413</v>
          </cell>
          <cell r="J88" t="str">
            <v>PENNZOIL PROD GARDEN BANKS 161 #2</v>
          </cell>
          <cell r="K88" t="str">
            <v>PENNZOIL PROD GARDEN BANKS 161 #2</v>
          </cell>
          <cell r="L88">
            <v>1</v>
          </cell>
          <cell r="M88">
            <v>295313006</v>
          </cell>
          <cell r="N88" t="str">
            <v>RH LINER SETTING SLEEVE BROWN TYPE W/ 10' EXT TYPE III 6.250 OD 5.750 ID W/ 5-1/2 VAM  BOX DN 4.997" TOOL ID 5.235 OD FLOATING NUT COMM# 09-12181-10 Q-125</v>
          </cell>
          <cell r="O88">
            <v>29531</v>
          </cell>
          <cell r="P88">
            <v>35836</v>
          </cell>
          <cell r="Q88">
            <v>35838</v>
          </cell>
          <cell r="R88">
            <v>1</v>
          </cell>
          <cell r="S88">
            <v>292030548</v>
          </cell>
          <cell r="T88" t="str">
            <v>HMC LINER HANGER W/ 6.250 OD SPECIAL CLEARANCE VAM PIN X PIN   Q-125</v>
          </cell>
          <cell r="U88">
            <v>29531</v>
          </cell>
          <cell r="V88">
            <v>35836</v>
          </cell>
          <cell r="W88">
            <v>35838</v>
          </cell>
        </row>
        <row r="89">
          <cell r="C89" t="str">
            <v/>
          </cell>
          <cell r="F89">
            <v>35831</v>
          </cell>
          <cell r="G89" t="str">
            <v>GWH</v>
          </cell>
          <cell r="H89" t="str">
            <v>LB</v>
          </cell>
          <cell r="I89">
            <v>6413</v>
          </cell>
          <cell r="J89" t="str">
            <v>SPIRIT ENERGY W.C.304 WELL #2 OCS G 17782</v>
          </cell>
          <cell r="K89" t="str">
            <v>NEED BY  2-25-98</v>
          </cell>
          <cell r="L89">
            <v>1</v>
          </cell>
          <cell r="M89">
            <v>29624</v>
          </cell>
          <cell r="N89" t="str">
            <v xml:space="preserve">                                                   
"ZXP" LINER PACKER, W/"HR" PROFILE, 5.000 IN 18.00 
 LB/FT 8RL BOX DOWN, X 7.000 IN 26.00- 29.00       
LB/FT, W/10 FT TYPE PBR EXT., 5.750 EXT OD, 5.250  </v>
          </cell>
          <cell r="P89">
            <v>35851</v>
          </cell>
          <cell r="Q89">
            <v>35851</v>
          </cell>
          <cell r="X89">
            <v>1</v>
          </cell>
          <cell r="Y89">
            <v>29989</v>
          </cell>
          <cell r="Z89" t="str">
            <v xml:space="preserve"> CROSSOVER BUSHING, 5.00 IN. 15-18.0 LB/FT VAM BOX 
 X 3.50 IN. 9.30 LB/FT HYDRIL CS PIN     </v>
          </cell>
          <cell r="AA89">
            <v>29989</v>
          </cell>
          <cell r="AB89">
            <v>35851</v>
          </cell>
          <cell r="AC89">
            <v>35851</v>
          </cell>
          <cell r="AD89">
            <v>1</v>
          </cell>
          <cell r="AE89">
            <v>266550784</v>
          </cell>
          <cell r="AF89" t="str">
            <v xml:space="preserve">LANDING COLLAR,BROWN TYPE PT2, 3-1/2 IN. 9.3 LB/FT 
 HYDRIL CS BOX X PIN, 3.915 IN. OD, 2.920 IN. ID,  </v>
          </cell>
          <cell r="AG89">
            <v>26655</v>
          </cell>
          <cell r="AH89">
            <v>35851</v>
          </cell>
          <cell r="AI89">
            <v>35851</v>
          </cell>
        </row>
        <row r="90">
          <cell r="C90" t="str">
            <v/>
          </cell>
          <cell r="F90">
            <v>35831</v>
          </cell>
          <cell r="G90" t="str">
            <v>MCDONALD</v>
          </cell>
          <cell r="H90" t="str">
            <v>LB</v>
          </cell>
          <cell r="I90">
            <v>6413</v>
          </cell>
          <cell r="J90" t="str">
            <v>MOBIL OIL- KIDDER  #1</v>
          </cell>
          <cell r="K90" t="str">
            <v>FED. EX. PRIORITY</v>
          </cell>
          <cell r="L90">
            <v>4</v>
          </cell>
          <cell r="M90">
            <v>27924400</v>
          </cell>
          <cell r="N90" t="str">
            <v>80-32, CRUSH RINGS.</v>
          </cell>
          <cell r="O90" t="str">
            <v>499-42</v>
          </cell>
          <cell r="P90">
            <v>35832</v>
          </cell>
          <cell r="R90">
            <v>10</v>
          </cell>
          <cell r="S90">
            <v>27185700</v>
          </cell>
          <cell r="T90" t="str">
            <v>40-26, AFLAS CHEVRONS</v>
          </cell>
          <cell r="U90" t="str">
            <v>453-35</v>
          </cell>
          <cell r="V90">
            <v>35832</v>
          </cell>
        </row>
        <row r="91">
          <cell r="C91" t="str">
            <v/>
          </cell>
          <cell r="F91">
            <v>35832</v>
          </cell>
          <cell r="G91" t="str">
            <v>WADE</v>
          </cell>
          <cell r="H91" t="str">
            <v>LB</v>
          </cell>
          <cell r="I91">
            <v>6413</v>
          </cell>
          <cell r="J91" t="str">
            <v>EQUITABLE RES SOUTH MARSH ISL 34 #3</v>
          </cell>
          <cell r="K91" t="str">
            <v>HOT SHOT</v>
          </cell>
          <cell r="L91">
            <v>3</v>
          </cell>
          <cell r="M91">
            <v>299891981</v>
          </cell>
          <cell r="N91" t="str">
            <v>7-5/8 VAM BOX X 7-5/8 39# STL PIN  P-110</v>
          </cell>
          <cell r="O91">
            <v>29989</v>
          </cell>
          <cell r="P91">
            <v>35832</v>
          </cell>
          <cell r="Q91">
            <v>35832</v>
          </cell>
        </row>
        <row r="92">
          <cell r="C92" t="str">
            <v/>
          </cell>
          <cell r="F92">
            <v>35832</v>
          </cell>
          <cell r="G92" t="str">
            <v>WADE</v>
          </cell>
          <cell r="H92" t="str">
            <v>LB</v>
          </cell>
          <cell r="I92">
            <v>6413</v>
          </cell>
          <cell r="J92" t="str">
            <v xml:space="preserve">WALTER OIL &amp; GAS </v>
          </cell>
          <cell r="K92" t="str">
            <v>NEED IN 10 DAYS</v>
          </cell>
          <cell r="L92">
            <v>1</v>
          </cell>
          <cell r="M92">
            <v>299892759</v>
          </cell>
          <cell r="N92" t="str">
            <v xml:space="preserve"> CROSSOVER BUSHING 7.625 IN. 26.40-45.30 LB/FT VAM
 SC BOX X 7.625 IN. 39.00 LB/FT HYDRIL SLX PIN,   
 8.250 TOOL OD, 6.545 TOOL ID, 125 KSI MYS        </v>
          </cell>
          <cell r="O92">
            <v>29989</v>
          </cell>
          <cell r="P92">
            <v>35842</v>
          </cell>
          <cell r="Q92">
            <v>35842</v>
          </cell>
          <cell r="R92">
            <v>1</v>
          </cell>
          <cell r="S92">
            <v>266550641</v>
          </cell>
          <cell r="T92" t="str">
            <v xml:space="preserve"> LANDING COLLAR, BROWN TYPE "PT" 2, 7.625 IN. 39.00 
  LB/FT HYDRIL SLX BOX X PIN, 7.775 IN. TOOL OD,    
 6.545 IN. TOOL ID, 4140HT 125 KSI MIN. YLD.        </v>
          </cell>
          <cell r="U92">
            <v>26655</v>
          </cell>
          <cell r="V92">
            <v>35842</v>
          </cell>
          <cell r="W92">
            <v>35842</v>
          </cell>
        </row>
        <row r="93">
          <cell r="C93" t="str">
            <v/>
          </cell>
          <cell r="F93">
            <v>35833</v>
          </cell>
          <cell r="G93" t="str">
            <v>G.H.</v>
          </cell>
          <cell r="H93" t="str">
            <v>LB</v>
          </cell>
          <cell r="I93">
            <v>6413</v>
          </cell>
          <cell r="J93" t="str">
            <v>WALTER OIL &amp; GAS E.I. 29  #2 OCSG 16340</v>
          </cell>
          <cell r="K93" t="str">
            <v>NEED IN ABOUT 2 WEEKS</v>
          </cell>
          <cell r="L93">
            <v>1</v>
          </cell>
          <cell r="M93">
            <v>26655</v>
          </cell>
          <cell r="N93" t="str">
            <v>LANDING COLLAR, PT2, 5.500 26.00 LB/FT HYDRIL SLX 
SLX BOX X PIN,  110 KSI</v>
          </cell>
          <cell r="O93">
            <v>26655</v>
          </cell>
          <cell r="P93">
            <v>35849</v>
          </cell>
          <cell r="Q93">
            <v>35849</v>
          </cell>
          <cell r="R93">
            <v>1</v>
          </cell>
          <cell r="S93">
            <v>99903</v>
          </cell>
          <cell r="T93" t="str">
            <v xml:space="preserve"> SHOE, TYPE V, DOUBLE VALVE 5.500 IN. 26.00 LB/FT HYDRIL   
UPREME LX BOX, , 110 KSI MYS                                  </v>
          </cell>
          <cell r="U93">
            <v>99903</v>
          </cell>
          <cell r="V93">
            <v>35849</v>
          </cell>
          <cell r="W93">
            <v>35849</v>
          </cell>
        </row>
        <row r="94">
          <cell r="C94" t="str">
            <v/>
          </cell>
          <cell r="F94">
            <v>35833</v>
          </cell>
          <cell r="G94" t="str">
            <v>G.H.</v>
          </cell>
          <cell r="H94" t="str">
            <v>LB</v>
          </cell>
          <cell r="I94">
            <v>6413</v>
          </cell>
          <cell r="J94" t="str">
            <v xml:space="preserve">TOTAL MINATOME  ( ROSEMARY SCHUH) #2                                         </v>
          </cell>
          <cell r="K94" t="str">
            <v>NEED IN ABOUT 2 WEEKS</v>
          </cell>
          <cell r="L94">
            <v>1</v>
          </cell>
          <cell r="M94">
            <v>299891956</v>
          </cell>
          <cell r="N94" t="str">
            <v>BUSHING, TYPE CROSSOVER, 7.625 IN. 26.40-45.30    
LB/FT VAM SC BOX X 7.625 IN. 39.00 LB/FT HYDRIL   
SUPREME LX PIN, 8.250 IN. OD, 6.545 IN. ID, 110KSI</v>
          </cell>
          <cell r="O94">
            <v>29989</v>
          </cell>
          <cell r="P94">
            <v>35849</v>
          </cell>
          <cell r="Q94">
            <v>35849</v>
          </cell>
          <cell r="R94">
            <v>1</v>
          </cell>
          <cell r="S94">
            <v>266550720</v>
          </cell>
          <cell r="T94" t="str">
            <v xml:space="preserve">LANDING COLLAR, BROWN TYPE "PT" 2, 7.625 IN. 39.00 
 LB/FT HYDRIL SLX BOX X PIN, 7.775 IN. TOOL OD,    
6.545 IN. TOOL ID, 110 KSI MIN. YLD.               </v>
          </cell>
          <cell r="U94">
            <v>26655</v>
          </cell>
          <cell r="V94">
            <v>35849</v>
          </cell>
          <cell r="W94">
            <v>35849</v>
          </cell>
          <cell r="X94">
            <v>1</v>
          </cell>
          <cell r="Y94">
            <v>999031407</v>
          </cell>
          <cell r="Z94" t="str">
            <v xml:space="preserve">                                                  
SET SHOE, TYPE 'V', 7.625 IN. 33.70-39.00 LB/FT   
HYDRIL SUPREME 'LX' BOX, 7.781 IN. OD, 6.625 IN.  
ID, 110 KSI                                       </v>
          </cell>
        </row>
        <row r="95">
          <cell r="C95" t="str">
            <v/>
          </cell>
          <cell r="F95">
            <v>35833</v>
          </cell>
          <cell r="G95" t="str">
            <v>G.H.</v>
          </cell>
          <cell r="H95" t="str">
            <v>LB</v>
          </cell>
          <cell r="I95">
            <v>6413</v>
          </cell>
          <cell r="J95" t="str">
            <v xml:space="preserve">TOTAL MINATOME  ( ROSEMARY SCHUH) #2                                         </v>
          </cell>
          <cell r="K95" t="str">
            <v>NEED IN ABOUT 3 WEEKS</v>
          </cell>
          <cell r="L95">
            <v>1</v>
          </cell>
          <cell r="M95">
            <v>266550446</v>
          </cell>
          <cell r="N95" t="str">
            <v xml:space="preserve">                                                  
LANDING COLLAR, BROWN TYPE PT2 W/BAFFLE, 5.000 IN.
 18.0 LB/FT SEAL TECH 'STL' BOX X PIN, 5.017 IN.  
OD, 4.189 IN. ID, TO USE 1.500 IN. DIA. BALL,     </v>
          </cell>
          <cell r="O95">
            <v>26655</v>
          </cell>
          <cell r="P95">
            <v>35855</v>
          </cell>
          <cell r="Q95">
            <v>35855</v>
          </cell>
          <cell r="R95">
            <v>1</v>
          </cell>
          <cell r="S95">
            <v>999031184</v>
          </cell>
          <cell r="T95" t="str">
            <v xml:space="preserve">SET SHOE,BROWN TYPE "V", 5 IN. 18 LB/FT STL BOX, 
5.017 IN. OD, 4.250 IN. 110 KSI                  </v>
          </cell>
        </row>
        <row r="96">
          <cell r="C96" t="str">
            <v/>
          </cell>
          <cell r="F96">
            <v>35833</v>
          </cell>
          <cell r="G96" t="str">
            <v>WADE</v>
          </cell>
          <cell r="H96" t="str">
            <v>LB</v>
          </cell>
          <cell r="I96">
            <v>6413</v>
          </cell>
          <cell r="J96" t="str">
            <v>ENRON OIL &amp; GAS      EWING BANKS 827 WELL#1</v>
          </cell>
          <cell r="K96" t="str">
            <v>NEED ABOUT  15 DAYS</v>
          </cell>
          <cell r="L96">
            <v>1</v>
          </cell>
          <cell r="M96">
            <v>299892071</v>
          </cell>
          <cell r="N96" t="str">
            <v xml:space="preserve"> BUSHING, BROWN TYPE CROSSOVER, 7.000 IN. VAM BOX X
  7.00 IN. 32.00 LB/FT STL PIN 7.656 IN. TOOL OD   
 6.023 ID, 110 KSI                                 </v>
          </cell>
          <cell r="O96">
            <v>29989</v>
          </cell>
          <cell r="P96">
            <v>35847</v>
          </cell>
          <cell r="Q96">
            <v>35849</v>
          </cell>
          <cell r="R96">
            <v>1</v>
          </cell>
          <cell r="S96">
            <v>266550500</v>
          </cell>
          <cell r="T96" t="str">
            <v xml:space="preserve">LANDING COLLAR, BROWN TYPE PT2, 7.000 IN. 32.00  
LB/FT STL'BOX X PIN, 7.000 IN. TOOL OD, 6.023 IN.
TOOL ID, 110 KSI MIN.                            </v>
          </cell>
          <cell r="U96">
            <v>26655</v>
          </cell>
          <cell r="V96">
            <v>35847</v>
          </cell>
          <cell r="W96">
            <v>35849</v>
          </cell>
        </row>
        <row r="97">
          <cell r="C97" t="str">
            <v/>
          </cell>
          <cell r="F97">
            <v>35833</v>
          </cell>
          <cell r="G97" t="str">
            <v>G.H.</v>
          </cell>
          <cell r="H97" t="str">
            <v>LB</v>
          </cell>
          <cell r="I97">
            <v>6413</v>
          </cell>
          <cell r="J97" t="str">
            <v xml:space="preserve">TOTAL MINATOME  ( ROSEMARY SCHUH) #2                                         </v>
          </cell>
          <cell r="K97" t="str">
            <v>NEED IN ABOUT 3 1/2 WEEKS</v>
          </cell>
          <cell r="M97">
            <v>29989</v>
          </cell>
          <cell r="N97" t="str">
            <v xml:space="preserve"> BUSHING, BROWN TYPE CROSSOVER, 5.500 IN. 23.00    
 LB/FT STL BOX X 5.000 IN. 18# VAM PIN,    
  110 KSI MYS.</v>
          </cell>
          <cell r="O97">
            <v>29989</v>
          </cell>
          <cell r="P97">
            <v>35863</v>
          </cell>
          <cell r="Q97">
            <v>35863</v>
          </cell>
          <cell r="R97">
            <v>1</v>
          </cell>
          <cell r="S97">
            <v>101773001</v>
          </cell>
          <cell r="T97" t="str">
            <v xml:space="preserve">FLOAT COLLAR, TYPE PT DOUBLE VALVE, W/ORIFICE,    
5.500 IN. 23.00 LB/FT STL BOX X PIN, 5.530 IN. OD,
4.600 IN. ID, 110KSI MYS                          </v>
          </cell>
          <cell r="U97">
            <v>10177</v>
          </cell>
          <cell r="V97">
            <v>35863</v>
          </cell>
          <cell r="W97">
            <v>35863</v>
          </cell>
        </row>
        <row r="98">
          <cell r="C98" t="str">
            <v/>
          </cell>
          <cell r="F98">
            <v>35836</v>
          </cell>
          <cell r="G98" t="str">
            <v>G.H.</v>
          </cell>
          <cell r="H98" t="str">
            <v>LB</v>
          </cell>
          <cell r="I98">
            <v>6413</v>
          </cell>
          <cell r="J98" t="str">
            <v>SAMEDAN  FOX #1 LAKE ARTHUR</v>
          </cell>
          <cell r="K98" t="str">
            <v>NEED IN ABOUT  3 1/2 WEEKS</v>
          </cell>
          <cell r="L98">
            <v>1</v>
          </cell>
          <cell r="M98">
            <v>299891981</v>
          </cell>
          <cell r="N98" t="str">
            <v xml:space="preserve">BUSHING, BROWN TYPE CROSSOVER, 7.625 IN. VAM (SC) 
BOX X 7.625 IN. 39.00 LB/FT STL PIN, 8.250 IN. OD,
 6.565 IN. ID, 110KSI MYS                         </v>
          </cell>
          <cell r="O98">
            <v>29989</v>
          </cell>
          <cell r="P98">
            <v>35857</v>
          </cell>
          <cell r="Q98">
            <v>35857</v>
          </cell>
          <cell r="R98">
            <v>1</v>
          </cell>
          <cell r="S98">
            <v>274100642</v>
          </cell>
          <cell r="T98" t="str">
            <v xml:space="preserve">LANDING COLLAR, TYPE PT1, 7.625 IN. 39.00 LB/FT   
SEAL TECH SUPER STL BOX X PIN, 7.625 IN. OD, 6.565
 IN. ID, 110 KSI MYS                              </v>
          </cell>
          <cell r="U98">
            <v>27410</v>
          </cell>
          <cell r="V98">
            <v>35857</v>
          </cell>
          <cell r="W98">
            <v>35857</v>
          </cell>
          <cell r="X98">
            <v>1</v>
          </cell>
          <cell r="Y98">
            <v>999030871</v>
          </cell>
          <cell r="Z98" t="str">
            <v xml:space="preserve">SET SHOE, BROWN TYPE V, 7-5/8 IN. 39.0 LB/FT SEAL  
TECH SUPER STL BOX, 7.675 IN. OD, 6.625 IN. ID,    
110 KSI                                            </v>
          </cell>
        </row>
        <row r="99">
          <cell r="C99" t="str">
            <v/>
          </cell>
          <cell r="F99">
            <v>35836</v>
          </cell>
          <cell r="G99" t="str">
            <v>WADE</v>
          </cell>
          <cell r="H99" t="str">
            <v>LB</v>
          </cell>
          <cell r="I99">
            <v>6413</v>
          </cell>
          <cell r="J99" t="str">
            <v>AMOCO PROD  VISCO KNOLL 915 A-5</v>
          </cell>
          <cell r="K99" t="str">
            <v>ASAP</v>
          </cell>
          <cell r="L99">
            <v>1</v>
          </cell>
          <cell r="M99">
            <v>297550081</v>
          </cell>
          <cell r="N99" t="str">
            <v xml:space="preserve">  SEAL ASSEMBLY, PBR W/3 SETS OF .177 CS 7.750      
  BULLET SEALS, F/20 FT. EXT., 8.625 IN 36.0 LB/FT  
  HYDRIL SLX BOX, 8.750 TOOL OD, 6.765 TOOL ID., W/4
   FT AMOCO STYLE NOSE GUIDE, 125 KSI MYS           </v>
          </cell>
          <cell r="O99">
            <v>29755</v>
          </cell>
          <cell r="P99">
            <v>35846</v>
          </cell>
          <cell r="Q99">
            <v>35846</v>
          </cell>
        </row>
        <row r="100">
          <cell r="C100" t="str">
            <v/>
          </cell>
          <cell r="F100">
            <v>-109</v>
          </cell>
          <cell r="G100" t="str">
            <v>GARY</v>
          </cell>
          <cell r="H100" t="str">
            <v>LB</v>
          </cell>
          <cell r="I100">
            <v>6413</v>
          </cell>
          <cell r="J100" t="str">
            <v xml:space="preserve">           STOCK</v>
          </cell>
          <cell r="K100" t="str">
            <v>PLEASE PUT 6 ON A BUSS, WE USED THE LAST ONE TODAY</v>
          </cell>
          <cell r="L100">
            <v>24</v>
          </cell>
          <cell r="M100">
            <v>269210092</v>
          </cell>
          <cell r="N100" t="str">
            <v xml:space="preserve">LINER WIPER PLUG, BROWN TYPE 1, 7 5/8 IN. 39-47.1 
LB/FT CSG, FOR 2.250 OD PUMP DOWN PLUG, 6.187 IN. 
OD STABILIZER, 2.016 IN. ID WIPER PLUG, WITH SHEAR
 PINS (ALSO GOOD FOR 7 IN. 17-23 LB/FT), F/2.875  
IN. OD SLICK JOINT                                </v>
          </cell>
          <cell r="O100">
            <v>26921</v>
          </cell>
          <cell r="P100" t="str">
            <v>6 SOON AS POSSIBLE</v>
          </cell>
        </row>
        <row r="101">
          <cell r="C101" t="str">
            <v/>
          </cell>
          <cell r="F101">
            <v>35837</v>
          </cell>
          <cell r="G101" t="str">
            <v>GARY</v>
          </cell>
          <cell r="H101" t="str">
            <v>LB</v>
          </cell>
          <cell r="I101">
            <v>6413</v>
          </cell>
          <cell r="J101" t="str">
            <v>SAMEDAN  FOX #1 LAKE ARTHUR</v>
          </cell>
          <cell r="K101" t="str">
            <v>NEED IN ABOUT 4 WEEKS</v>
          </cell>
          <cell r="L101">
            <v>1</v>
          </cell>
          <cell r="M101">
            <v>29629</v>
          </cell>
          <cell r="N101" t="str">
            <v>ZXP LINER PACKER, W/ HOLD DOWN SLIPS AND 'RH'  
PROFILE, 5.000 23.2 LB/FT VAM BOX DOWN X 7.625" 
39.00 LB/FT, W/ 10 FT TYPE III EXT P-110</v>
          </cell>
          <cell r="O101">
            <v>29629</v>
          </cell>
          <cell r="P101">
            <v>35865</v>
          </cell>
          <cell r="Q101">
            <v>35865</v>
          </cell>
          <cell r="R101">
            <v>1</v>
          </cell>
          <cell r="S101">
            <v>292100557</v>
          </cell>
          <cell r="T101" t="str">
            <v xml:space="preserve">                                                 
LINER HANGER, CMC, 5.00 IN 23.20 LB/FT VAM PIN X 
PIN X 7.625 IN 39.00 LB/FT CSG, (7.750" 46.1#)   
6.375 IN OD, W/RIGHT HAND SET JAY, P-110         </v>
          </cell>
          <cell r="U101">
            <v>29210</v>
          </cell>
          <cell r="V101">
            <v>35865</v>
          </cell>
          <cell r="W101">
            <v>35865</v>
          </cell>
          <cell r="X101">
            <v>1</v>
          </cell>
          <cell r="Y101">
            <v>299891863</v>
          </cell>
          <cell r="Z101" t="str">
            <v xml:space="preserve">BUSHING, BROWN TYPE CROSSOVER, 5.000 IN. 23.20    
LB/FT VAM BOX X 5.000 IN. 23.20 LB/FT HYDRIL      
SUPREME LX PIN, 5.563 IN. TOOL OD, 3.964 IN. TOOL 
ID, 14 IN. LONG, 4140 HT                          </v>
          </cell>
          <cell r="AA101">
            <v>29989</v>
          </cell>
          <cell r="AB101">
            <v>35865</v>
          </cell>
          <cell r="AC101">
            <v>35865</v>
          </cell>
          <cell r="AD101">
            <v>1</v>
          </cell>
          <cell r="AE101">
            <v>27410</v>
          </cell>
          <cell r="AF101" t="str">
            <v xml:space="preserve">                                                 
LANDING COLLAR PT1, 5.000 IN. 23.20 LB/FT, HYDRIL
SLX BOX X PIN, 5.128 IN. TOOL OD, 3.964 IN. TOOL  P-110</v>
          </cell>
          <cell r="AG101">
            <v>27410</v>
          </cell>
          <cell r="AH101">
            <v>35865</v>
          </cell>
          <cell r="AI101">
            <v>35865</v>
          </cell>
          <cell r="AJ101">
            <v>1</v>
          </cell>
          <cell r="AK101">
            <v>10070</v>
          </cell>
          <cell r="AL101" t="str">
            <v xml:space="preserve">                                                  
V SET SHOE, 5.000 IN. 23.20 LB/FT HYDRIL SLX BOX, 
5.128 IN. OD, 4.044 IN. ID, 110 KSI MYS            </v>
          </cell>
          <cell r="AM101">
            <v>10070</v>
          </cell>
          <cell r="AN101">
            <v>35865</v>
          </cell>
          <cell r="AO101">
            <v>35865</v>
          </cell>
        </row>
        <row r="102">
          <cell r="C102" t="str">
            <v/>
          </cell>
          <cell r="F102">
            <v>35824</v>
          </cell>
          <cell r="G102" t="str">
            <v>Cody Flemming</v>
          </cell>
          <cell r="H102" t="str">
            <v>LB</v>
          </cell>
          <cell r="I102">
            <v>6413</v>
          </cell>
          <cell r="J102" t="str">
            <v>AMOCO BICKHAM #6 - WAS DR 970079-P BUT WAS SUPPOSED TO BE THIS ONE; CMF</v>
          </cell>
          <cell r="K102" t="str">
            <v>SHIP BY 03-05-98</v>
          </cell>
          <cell r="L102">
            <v>1</v>
          </cell>
          <cell r="M102" t="str">
            <v>02432304R</v>
          </cell>
          <cell r="N102" t="str">
            <v>80-40 BOTTOM SUB W/ 3 1/2" 12.7# FOX "K" PIN 13 CR</v>
          </cell>
          <cell r="O102">
            <v>43230</v>
          </cell>
          <cell r="P102">
            <v>35860</v>
          </cell>
          <cell r="Q102">
            <v>35860</v>
          </cell>
        </row>
        <row r="103">
          <cell r="C103" t="str">
            <v/>
          </cell>
          <cell r="F103">
            <v>35829</v>
          </cell>
          <cell r="G103" t="str">
            <v>Cody Flemming</v>
          </cell>
          <cell r="H103" t="str">
            <v>LB</v>
          </cell>
          <cell r="I103">
            <v>6413</v>
          </cell>
          <cell r="J103" t="str">
            <v>Replacements for equipment used by Amoco; WAS DR 970080-P BUT WAS SUPPOSED TO BE THIS ONE; CMF</v>
          </cell>
          <cell r="K103" t="str">
            <v>SHIP by 03-12-98</v>
          </cell>
          <cell r="L103">
            <v>2</v>
          </cell>
          <cell r="M103">
            <v>446033047</v>
          </cell>
          <cell r="N103" t="str">
            <v>Size 80-32 "L-22S" LTSA w/6 A-ryte seal units &amp; 2 spacer tubes 13CR Blank for 2 7/8" premium thread box x 1/2 Mule shoe 20' long</v>
          </cell>
          <cell r="O103">
            <v>44603</v>
          </cell>
          <cell r="P103">
            <v>35867</v>
          </cell>
          <cell r="Q103" t="str">
            <v>03-13098</v>
          </cell>
        </row>
        <row r="104">
          <cell r="C104" t="str">
            <v/>
          </cell>
          <cell r="F104">
            <v>35830</v>
          </cell>
          <cell r="G104" t="str">
            <v>Cody Flemming</v>
          </cell>
          <cell r="H104" t="str">
            <v>LB</v>
          </cell>
          <cell r="I104">
            <v>6413</v>
          </cell>
          <cell r="J104" t="str">
            <v>Replacment parts used in redress;  WAS DR 970081-P BUT WAS SUPPOSED TO BE THIS ONE; CMF</v>
          </cell>
          <cell r="K104" t="str">
            <v>SHIP by 03-12-98</v>
          </cell>
          <cell r="L104">
            <v>1</v>
          </cell>
          <cell r="M104">
            <v>29370600</v>
          </cell>
          <cell r="N104" t="str">
            <v>45A redress kit</v>
          </cell>
          <cell r="O104">
            <v>93706</v>
          </cell>
          <cell r="P104">
            <v>35867</v>
          </cell>
          <cell r="Q104">
            <v>35867</v>
          </cell>
          <cell r="R104">
            <v>1</v>
          </cell>
          <cell r="S104">
            <v>33483300</v>
          </cell>
          <cell r="T104" t="str">
            <v>51 'GT' Snap ring</v>
          </cell>
          <cell r="U104">
            <v>34833</v>
          </cell>
          <cell r="V104">
            <v>35867</v>
          </cell>
          <cell r="W104">
            <v>35867</v>
          </cell>
          <cell r="X104">
            <v>1</v>
          </cell>
          <cell r="Y104">
            <v>34175500</v>
          </cell>
          <cell r="Z104" t="str">
            <v>51B 'GT' DSR redress kit</v>
          </cell>
          <cell r="AA104">
            <v>41755</v>
          </cell>
          <cell r="AB104">
            <v>35867</v>
          </cell>
          <cell r="AC104">
            <v>35867</v>
          </cell>
        </row>
        <row r="105">
          <cell r="C105" t="str">
            <v/>
          </cell>
          <cell r="F105">
            <v>35830</v>
          </cell>
          <cell r="G105" t="str">
            <v>Cody Flemming</v>
          </cell>
          <cell r="H105" t="str">
            <v>LB</v>
          </cell>
          <cell r="I105">
            <v>6413</v>
          </cell>
          <cell r="J105" t="str">
            <v>Amoco Parlange #7; WAS 970082-P BUT WAS SUPPOSED TO BE THIS ONE; CMF</v>
          </cell>
          <cell r="K105" t="str">
            <v>SHIP by 05-14-98</v>
          </cell>
          <cell r="L105">
            <v>2</v>
          </cell>
          <cell r="M105" t="str">
            <v>4135087QA</v>
          </cell>
          <cell r="N105" t="str">
            <v>Size 87-40 "FB-3" Packer w/ 4 1/2" 23.7# New Vam box down w/non sealing bore of 3.270 Inconel 718, 120KSI body &amp; 30-36 cones-Aflas Packing element 15K Rated</v>
          </cell>
          <cell r="O105">
            <v>41350</v>
          </cell>
          <cell r="P105">
            <v>35930</v>
          </cell>
          <cell r="Q105">
            <v>35930</v>
          </cell>
          <cell r="R105">
            <v>2</v>
          </cell>
          <cell r="S105" t="str">
            <v>0247469QK</v>
          </cell>
          <cell r="T105" t="str">
            <v>Size 80-32 Seal bore exttension 15' long w/ 4 1/2" 24.6# New Vam pin x 4 1/2 Crush ring pin, Super 13 CR- 95KSI Burst 19,136-Collapse 19,132</v>
          </cell>
          <cell r="U105">
            <v>47469</v>
          </cell>
          <cell r="V105">
            <v>35930</v>
          </cell>
          <cell r="W105">
            <v>35930</v>
          </cell>
          <cell r="X105">
            <v>1</v>
          </cell>
          <cell r="Y105" t="str">
            <v>0286215QB</v>
          </cell>
          <cell r="Z105" t="str">
            <v>Size 80-32 Concentric coupling w/ 4 1/2" Crush ring box x Crush ring box</v>
          </cell>
          <cell r="AA105">
            <v>86215</v>
          </cell>
          <cell r="AB105">
            <v>35930</v>
          </cell>
          <cell r="AC105">
            <v>35930</v>
          </cell>
          <cell r="AD105">
            <v>2</v>
          </cell>
          <cell r="AE105">
            <v>27924400</v>
          </cell>
          <cell r="AF105" t="str">
            <v>4 1/2 Inconel Crush rings</v>
          </cell>
          <cell r="AG105">
            <v>79244</v>
          </cell>
          <cell r="AH105">
            <v>35930</v>
          </cell>
          <cell r="AI105">
            <v>35930</v>
          </cell>
          <cell r="AJ105">
            <v>1</v>
          </cell>
          <cell r="AK105" t="str">
            <v>4460330D7</v>
          </cell>
          <cell r="AL105" t="str">
            <v>Size 80-32 "L22S" Locator seal assembly w/ 3 1/2" 12.7# Fox "K" box up x 1/2 Mule shoe down w/ all internal connections of 2 7/8" 7.7# Vam Ace w/ Locator sub, 6' Spacer tube, 3 Debris barrier, 12 K-Ryte seal units, 1/2 Mule shoe Inconel 718-120KSI Mat'l.</v>
          </cell>
          <cell r="AM105">
            <v>44603</v>
          </cell>
          <cell r="AN105">
            <v>35930</v>
          </cell>
          <cell r="AO105">
            <v>35930</v>
          </cell>
        </row>
        <row r="106">
          <cell r="C106" t="str">
            <v/>
          </cell>
          <cell r="F106">
            <v>35830</v>
          </cell>
          <cell r="G106" t="str">
            <v>Cody Flemming</v>
          </cell>
          <cell r="H106" t="str">
            <v>LB</v>
          </cell>
          <cell r="I106">
            <v>6413</v>
          </cell>
          <cell r="J106" t="str">
            <v>Amoco Parlange #9; WAS 970083-P BUT WAS SUPPOSED TO BE THIS ONE; CMF</v>
          </cell>
          <cell r="K106" t="str">
            <v>SHIP by 05-14-98</v>
          </cell>
          <cell r="L106">
            <v>2</v>
          </cell>
          <cell r="M106" t="str">
            <v>4135087QA</v>
          </cell>
          <cell r="N106" t="str">
            <v>Size 87-40 "FB-3" Packer w/ 4 1/2" 23.7# New Vam box down w/non sealing bore of 3.270 Inconel 718, 120KSI body &amp; 30-36 cones-Aflas Packing element 15K Rated</v>
          </cell>
          <cell r="O106">
            <v>41350</v>
          </cell>
          <cell r="P106">
            <v>35930</v>
          </cell>
          <cell r="Q106">
            <v>35930</v>
          </cell>
          <cell r="R106">
            <v>2</v>
          </cell>
          <cell r="S106" t="str">
            <v>0247469QK</v>
          </cell>
          <cell r="T106" t="str">
            <v>Size 80-32 Seal bore exttension 15' long w/ 4 1/2" 24.6# New Vam pin x 4 1/2 Crush ring pin, Super 13 CR- 95KSI Burst 19,136-Collapse 19,132</v>
          </cell>
          <cell r="U106">
            <v>47469</v>
          </cell>
          <cell r="V106">
            <v>35930</v>
          </cell>
          <cell r="W106">
            <v>35930</v>
          </cell>
          <cell r="X106">
            <v>1</v>
          </cell>
          <cell r="Y106" t="str">
            <v>0286215QB</v>
          </cell>
          <cell r="Z106" t="str">
            <v>Size 80-32 Concentric coupling w/ 4 1/2" Crush ring box x Crush ring box</v>
          </cell>
          <cell r="AA106">
            <v>86215</v>
          </cell>
          <cell r="AB106">
            <v>35930</v>
          </cell>
          <cell r="AC106">
            <v>35930</v>
          </cell>
          <cell r="AD106">
            <v>2</v>
          </cell>
          <cell r="AE106">
            <v>27924400</v>
          </cell>
          <cell r="AF106" t="str">
            <v>4 1/2 Inconel Crush rings</v>
          </cell>
          <cell r="AG106">
            <v>79244</v>
          </cell>
          <cell r="AH106">
            <v>35930</v>
          </cell>
          <cell r="AI106">
            <v>35930</v>
          </cell>
          <cell r="AJ106">
            <v>1</v>
          </cell>
          <cell r="AK106" t="str">
            <v>4460330D7</v>
          </cell>
          <cell r="AL106" t="str">
            <v>Size 80-32 "L22S" Locator seal assembly w/ 3 1/2" 12.7# Fox "K" box up x 1/2 Mule shoe down w/ all internal connections of 2 7/8" 7.7# Vam Ace w/ Locator sub, 6' Spacer tube, 3 Debris barrier, 12 K-Ryte seal units, 1/2 Mule shoe Inconel 718-120KSI Mat'l.</v>
          </cell>
          <cell r="AM106">
            <v>44603</v>
          </cell>
          <cell r="AN106">
            <v>35930</v>
          </cell>
          <cell r="AO106">
            <v>35930</v>
          </cell>
        </row>
        <row r="107">
          <cell r="C107" t="str">
            <v/>
          </cell>
          <cell r="F107">
            <v>35831</v>
          </cell>
          <cell r="G107" t="str">
            <v>Cody Flemming</v>
          </cell>
          <cell r="H107" t="str">
            <v>LB</v>
          </cell>
          <cell r="I107">
            <v>6413</v>
          </cell>
          <cell r="J107" t="str">
            <v>Warehouse use;  WAS 970084-P BUT WAS SUPPOSED TO BE THIS ONE; CMF</v>
          </cell>
          <cell r="K107" t="str">
            <v>SHIP BY 02-12-98</v>
          </cell>
          <cell r="L107">
            <v>24</v>
          </cell>
          <cell r="M107">
            <v>27101800</v>
          </cell>
          <cell r="N107" t="str">
            <v>Size 41-30 concave back-up rings</v>
          </cell>
          <cell r="O107">
            <v>71018</v>
          </cell>
          <cell r="P107">
            <v>35839</v>
          </cell>
          <cell r="Q107">
            <v>35839</v>
          </cell>
        </row>
        <row r="108">
          <cell r="C108" t="str">
            <v/>
          </cell>
          <cell r="F108">
            <v>35838</v>
          </cell>
          <cell r="G108" t="str">
            <v>GARY</v>
          </cell>
          <cell r="H108" t="str">
            <v>LB</v>
          </cell>
          <cell r="I108">
            <v>6413</v>
          </cell>
          <cell r="J108" t="str">
            <v>SHIP SOON AS POSIBLE</v>
          </cell>
          <cell r="K108">
            <v>35842</v>
          </cell>
          <cell r="L108">
            <v>1</v>
          </cell>
          <cell r="M108">
            <v>266550135</v>
          </cell>
          <cell r="N108" t="str">
            <v xml:space="preserve">LANDING COLLAR BROWN TYPE 2, 7 IN. 26.00 29.00  
LB/FT, 8R L BOX X PIN , 7.656 IN. OD, 6.250 IN. 
ID, 4140 HT USE 1.750 IN. OD SETTING BALL, 2400 
PSI SHEAR (TT 090788)                           </v>
          </cell>
          <cell r="O108">
            <v>26655</v>
          </cell>
          <cell r="P108">
            <v>35842</v>
          </cell>
          <cell r="R108">
            <v>1</v>
          </cell>
          <cell r="S108">
            <v>100203162</v>
          </cell>
          <cell r="T108" t="str">
            <v xml:space="preserve">SET SHOE, BROWN TYPE V, 7 IN. 20-38.0 LB/FT, 8R L 
BOX 7.500 IN. OD, 6.375 IN. ID, 1018-1026         </v>
          </cell>
          <cell r="U108">
            <v>10070</v>
          </cell>
          <cell r="V108">
            <v>35842</v>
          </cell>
        </row>
        <row r="109">
          <cell r="C109" t="str">
            <v/>
          </cell>
          <cell r="F109">
            <v>35807</v>
          </cell>
          <cell r="G109" t="str">
            <v>GARY</v>
          </cell>
          <cell r="H109" t="str">
            <v>LB</v>
          </cell>
          <cell r="I109">
            <v>6413</v>
          </cell>
          <cell r="J109" t="str">
            <v>VASTAR  RESOURCES INC. SOUTH MARSH ISAND  33 ,  SHIP SOON AS POSSABLE</v>
          </cell>
          <cell r="K109">
            <v>35843</v>
          </cell>
          <cell r="L109">
            <v>1</v>
          </cell>
          <cell r="M109">
            <v>299892007</v>
          </cell>
          <cell r="N109" t="str">
            <v xml:space="preserve">                                                   
BUSHING, BROWN TYPE CROSSOVER, 5.500 IN. VAM BOX X 
 STL PIN 17.00 LB/FT, 6.062 IN. OD, 4.822 ID, 110  
KSI MYS                                            </v>
          </cell>
          <cell r="O109">
            <v>29989</v>
          </cell>
          <cell r="P109">
            <v>35844</v>
          </cell>
          <cell r="R109">
            <v>1</v>
          </cell>
          <cell r="S109">
            <v>266550526</v>
          </cell>
          <cell r="T109" t="str">
            <v xml:space="preserve">                                                   
LANDING COLLAR, TYPE PT2, 5.500 IN 17.00 LB/FT STL 
 BOX X PIN, 5.500 IN OD, 4.822 IN ID, 110 KSI  WITH 2500# BALL SEAT    </v>
          </cell>
          <cell r="U109">
            <v>26655</v>
          </cell>
          <cell r="V109">
            <v>35844</v>
          </cell>
          <cell r="X109">
            <v>1</v>
          </cell>
          <cell r="Y109">
            <v>999031703</v>
          </cell>
          <cell r="Z109" t="str">
            <v xml:space="preserve">                                                  
SET SHOE, TYPE V, 5.500 IN. 17.00 LB/FT STL BOX,  
5.500 IN. OD, 4.892 IN. ID, 110 KSI MYS           </v>
          </cell>
          <cell r="AA109">
            <v>99903</v>
          </cell>
          <cell r="AB109">
            <v>35838</v>
          </cell>
          <cell r="AC109">
            <v>35845</v>
          </cell>
        </row>
        <row r="110">
          <cell r="C110" t="str">
            <v/>
          </cell>
          <cell r="F110">
            <v>35838</v>
          </cell>
          <cell r="G110" t="str">
            <v>GARY</v>
          </cell>
          <cell r="H110" t="str">
            <v>LB</v>
          </cell>
          <cell r="I110">
            <v>6413</v>
          </cell>
          <cell r="J110" t="str">
            <v>COASTAL OIL &amp; GAS W.C. 498 #B-9</v>
          </cell>
          <cell r="K110" t="str">
            <v>COASRTAL OIL &amp; GAS  W.C. 498 #B9</v>
          </cell>
          <cell r="L110">
            <v>1</v>
          </cell>
          <cell r="M110">
            <v>299891995</v>
          </cell>
          <cell r="N110" t="str">
            <v xml:space="preserve">BUSHING, BROWN TYPE CROSSOVER, 7.625 IN. VAM BOX X
 7.625 IN. 33.70 LB/FT STL PIN, 8.25 IN. TOOL OD, 
6.685 IN. TOOL ID, 18 IN. LONG 110 KSI MYS        </v>
          </cell>
          <cell r="O110">
            <v>29989</v>
          </cell>
          <cell r="P110">
            <v>35869</v>
          </cell>
          <cell r="Q110">
            <v>35870</v>
          </cell>
        </row>
        <row r="111">
          <cell r="C111" t="str">
            <v/>
          </cell>
          <cell r="F111">
            <v>35838</v>
          </cell>
          <cell r="G111" t="str">
            <v>GARY</v>
          </cell>
          <cell r="H111" t="str">
            <v>LB</v>
          </cell>
          <cell r="I111">
            <v>6413</v>
          </cell>
          <cell r="J111" t="str">
            <v>UMC PETROLIUM WC 528 #3</v>
          </cell>
          <cell r="L111">
            <v>1</v>
          </cell>
          <cell r="M111">
            <v>296290133</v>
          </cell>
          <cell r="N111" t="str">
            <v xml:space="preserve">                                                  
LINER PACKER, TYPE 'ZXP', W/RH PROFILE &amp; HOLD DOWN
 SLIPS, W/10 FT. TYPE PBR EXT., 7.000 IN. VAM BOX 
DOWN, X 9.625 IN 40-47.00 LB/FT, 8.250 OD EXT.,   
7.375 ID EXT., 8.435 TOOL OD, 6.188 TOOL ID,      </v>
          </cell>
          <cell r="O111">
            <v>29629</v>
          </cell>
          <cell r="P111">
            <v>35860</v>
          </cell>
          <cell r="Q111">
            <v>35860</v>
          </cell>
          <cell r="R111">
            <v>1</v>
          </cell>
          <cell r="S111">
            <v>299891994</v>
          </cell>
          <cell r="T111" t="str">
            <v xml:space="preserve">                                                
BUSHING, CROSSOVER, 7.000 IN. VAM BOX X 35.00   
LB/FT STL PIN 7.656 IN. TOOL OD, 5.924 IN. TOOL 
ID, 110 MIN. YIELD                              </v>
          </cell>
          <cell r="U111">
            <v>29989</v>
          </cell>
          <cell r="V111">
            <v>35860</v>
          </cell>
          <cell r="W111">
            <v>35860</v>
          </cell>
          <cell r="X111">
            <v>1</v>
          </cell>
          <cell r="Y111">
            <v>266550352</v>
          </cell>
          <cell r="Z111" t="str">
            <v xml:space="preserve">LANDING COLLAR TYPE PT2, 7.00 IN. 35.00 LB/FT SEAL 
 TECH SUPER 'STL' BOX X PIN, 7.000 IN. OD, 5.924   
IN. ID, 110 KSI MYS                                </v>
          </cell>
          <cell r="AA111">
            <v>26655</v>
          </cell>
          <cell r="AB111">
            <v>35860</v>
          </cell>
          <cell r="AC111">
            <v>35860</v>
          </cell>
          <cell r="AD111">
            <v>1</v>
          </cell>
          <cell r="AE111">
            <v>100703273</v>
          </cell>
          <cell r="AF111" t="str">
            <v xml:space="preserve">LANDING COLLAR TYPE PT2, 7.00 IN. 35.00 LB/FT SEAL 
 TECH SUPER 'STL' BOX X PIN, 7.000 IN. OD, 5.924   
IN. ID, 110 KSI MYS                                </v>
          </cell>
          <cell r="AG111">
            <v>10070</v>
          </cell>
          <cell r="AH111">
            <v>35860</v>
          </cell>
          <cell r="AI111">
            <v>35860</v>
          </cell>
        </row>
        <row r="112">
          <cell r="C112" t="str">
            <v/>
          </cell>
          <cell r="F112">
            <v>35839</v>
          </cell>
          <cell r="G112" t="str">
            <v>Rishma Prasad</v>
          </cell>
          <cell r="H112" t="str">
            <v>LB</v>
          </cell>
          <cell r="I112">
            <v>6413</v>
          </cell>
          <cell r="J112" t="str">
            <v>Amoco Miss Canyon 739 OCSG 9859 #1; STAB JOB @ EMMOTT RD PER AMOCO SPECS</v>
          </cell>
          <cell r="L112">
            <v>1</v>
          </cell>
          <cell r="M112" t="str">
            <v>29629XXXX</v>
          </cell>
          <cell r="N112" t="str">
            <v>ZXP LINER PKR W/ HOLD DOWN SLIPS &amp; RH PROFILE 9.625 IN. VAM BOX DN X 11.75 IN. 60-65.0 LB/FT  W/20 FT PBR EXT, 10.318 EXT. OD, 9.750 EXT. ID, 10.463 IN TOOL OD, 8.575 IN TOOL ID (MUST PASS 8.550 DRIFT) 60,000 SET, 9.240 OD FLOAT NUT, 125ksi</v>
          </cell>
          <cell r="O112">
            <v>29629</v>
          </cell>
          <cell r="P112">
            <v>35852</v>
          </cell>
          <cell r="Q112">
            <v>35851</v>
          </cell>
          <cell r="R112">
            <v>1</v>
          </cell>
          <cell r="S112">
            <v>294010311</v>
          </cell>
          <cell r="T112" t="str">
            <v xml:space="preserve"> RS PROFILE BUSHING, 9.625 IN. 43.50-61.10 LB/FT VAM PIN X BOX, 10.250 OD, 8.535 ID, 125 KSI MYS </v>
          </cell>
          <cell r="U112">
            <v>29401</v>
          </cell>
          <cell r="V112">
            <v>35852</v>
          </cell>
          <cell r="W112">
            <v>35851</v>
          </cell>
          <cell r="X112">
            <v>1</v>
          </cell>
          <cell r="Y112">
            <v>292536332</v>
          </cell>
          <cell r="Z112" t="str">
            <v>BODY F/HYDRAULIC FLEX-LOCK LINER HANGER, 9.625 IN. 53.50 LB/FT X 11.750 IN. 42-71.00 LB/FT, VAM VAM   PIN X PIN, 9.640 IN. TOOL OD, 8.535 TOOL ID 18 FT  LONG, W/PORTS ON BOTTOM FOR LFC LWP125 KSI</v>
          </cell>
          <cell r="AA112">
            <v>29253</v>
          </cell>
          <cell r="AB112">
            <v>35852</v>
          </cell>
          <cell r="AC112">
            <v>35851</v>
          </cell>
          <cell r="AD112">
            <v>1</v>
          </cell>
          <cell r="AE112">
            <v>292507005</v>
          </cell>
          <cell r="AF112" t="str">
            <v>LINER HANGER, HYDRAULIC FEX-LOCK, 9.625 X 11.750  IN 65-66.70 LB/FT CSG., 10.475 IN TOOL OD, 9.625 TOOL ID, 110 KSI MYS</v>
          </cell>
          <cell r="AG112">
            <v>29250</v>
          </cell>
          <cell r="AH112">
            <v>35852</v>
          </cell>
          <cell r="AI112">
            <v>35851</v>
          </cell>
          <cell r="AJ112">
            <v>1</v>
          </cell>
          <cell r="AK112" t="str">
            <v>29989XXXX</v>
          </cell>
          <cell r="AL112" t="str">
            <v xml:space="preserve"> BUSHING, CROSSOVER, 9.625 IN. VAM BOX X 9.625 IN. 53.50 LB/FT HYDRIL SLX PIN, 10.375 IN. OD, 8.535 
 IN. ID, 125 KSI MIN.</v>
          </cell>
          <cell r="AM112">
            <v>29989</v>
          </cell>
          <cell r="AN112">
            <v>35852</v>
          </cell>
          <cell r="AO112">
            <v>35851</v>
          </cell>
          <cell r="AP112">
            <v>1</v>
          </cell>
          <cell r="AQ112">
            <v>274180037</v>
          </cell>
          <cell r="AR112" t="str">
            <v xml:space="preserve"> LANDING COLLAR, TYPE F/'LFC' 4 PLUG SYSTEM  (STANDARD APPLICATION), 9.625 IN 53.50 LB/FT   
 HYDRIL SLX BOX X PIN, 9.821 TOOL OD, 8.535 TOOL  ID, 125 KSI MYS                                </v>
          </cell>
          <cell r="AS112">
            <v>27418</v>
          </cell>
          <cell r="AT112">
            <v>35852</v>
          </cell>
          <cell r="AU112">
            <v>35851</v>
          </cell>
          <cell r="AV112">
            <v>1</v>
          </cell>
          <cell r="AW112">
            <v>269280004</v>
          </cell>
          <cell r="AX112" t="str">
            <v xml:space="preserve"> ADAPTER, BROWN TYPE F/ "LFC" TYPE LINER WIPER PLUG SYSTEM, 2.875 IN. EU8 PIN UP, 4.500 IN. TOOL OD,   2.44 IN. TOOL ID, 110 KSI MYS                      </v>
          </cell>
          <cell r="AY112">
            <v>26928</v>
          </cell>
          <cell r="AZ112">
            <v>35852</v>
          </cell>
          <cell r="BA112">
            <v>35851</v>
          </cell>
        </row>
        <row r="113">
          <cell r="C113" t="str">
            <v/>
          </cell>
          <cell r="F113">
            <v>35842</v>
          </cell>
          <cell r="G113" t="str">
            <v>GARY</v>
          </cell>
          <cell r="H113" t="str">
            <v>LB</v>
          </cell>
          <cell r="I113">
            <v>6413</v>
          </cell>
          <cell r="J113" t="str">
            <v>TEXACO EAST BREAKS 208 #1</v>
          </cell>
          <cell r="K113" t="str">
            <v>NEED BY 3-20-98</v>
          </cell>
          <cell r="L113">
            <v>1</v>
          </cell>
          <cell r="M113">
            <v>29625</v>
          </cell>
          <cell r="N113" t="str">
            <v>LINER TOP PACKER, BROWN TYPE "ZXP" W/ "RH" PROFILE AND 10' TYPE 3 EXTENION. 12.130" EXT, O.D. 11.500" EXT. I.D. W/ HOLDDOWNS.  FLAPPER VALVE ASSY., LESS FLAPPER. 4140 HT 125KSI  W/11 3/4" ACME BOX DOWN</v>
          </cell>
          <cell r="O113">
            <v>29629</v>
          </cell>
          <cell r="P113">
            <v>35874</v>
          </cell>
          <cell r="Q113">
            <v>35874</v>
          </cell>
          <cell r="R113">
            <v>1</v>
          </cell>
          <cell r="S113">
            <v>292110047</v>
          </cell>
          <cell r="T113" t="str">
            <v xml:space="preserve">LINER HANGER, TYPE, SHC HYDRAULIC SET SOLID BODY, 
W/15 SLIPS, 11.750 IN. 65.00 LB/FT X 13.375 IN.   
68.0-72.0 LB/FT LB/FT 11.125 IN. ACME PIN X 11.750
65.00 LB/FT STL BOX 12.13 IN. TOOL OD, 10.670 IN. 
TOOL ID, 125 KSI MYS                              </v>
          </cell>
          <cell r="U113">
            <v>29211</v>
          </cell>
          <cell r="V113">
            <v>35874</v>
          </cell>
          <cell r="W113">
            <v>35874</v>
          </cell>
          <cell r="X113">
            <v>1</v>
          </cell>
          <cell r="Y113" t="str">
            <v>299921091</v>
          </cell>
          <cell r="Z113" t="str">
            <v xml:space="preserve">                                                  
 SPACER NIPPLE 10 FT, 11.750 IN. 65.00 LB/FT STL  
 PIN X PIN, TOOL OD 11.75 X 10.682 ID, Q125       
                                                  </v>
          </cell>
          <cell r="AA113">
            <v>29992</v>
          </cell>
          <cell r="AB113">
            <v>35874</v>
          </cell>
          <cell r="AC113">
            <v>35874</v>
          </cell>
          <cell r="AD113">
            <v>1</v>
          </cell>
          <cell r="AE113">
            <v>274180035</v>
          </cell>
          <cell r="AF113" t="str">
            <v xml:space="preserve">                                                 
TYPE II LANDING COLLAR F/'LFC' 4 PLUG SYSTEM,    
11.75 IN. 65.0 LB/FT STL BOX X PIN, 11.789 TOOL  
OD, 10.682 TOOL ID, 2.650 PSI SHEAR, USE W/1-1/2 
IN. BALL, W/CATCHER, 125 KSI MYS                 </v>
          </cell>
          <cell r="AG113">
            <v>27418</v>
          </cell>
          <cell r="AH113">
            <v>35874</v>
          </cell>
          <cell r="AI113">
            <v>35874</v>
          </cell>
          <cell r="AJ113">
            <v>1</v>
          </cell>
          <cell r="AK113">
            <v>26927</v>
          </cell>
          <cell r="AL113" t="str">
            <v xml:space="preserve">                                                  
'LFC' LINER WIPER PLUG SYSTEM, F/11.75 IN ALL     
LB/FT'S, 1.640 IN ID WIPER PLUG W/CERAMIC INSERTS,
STANDARD APPLICATION    
PROD NO. 274-18 LANDING COLLAR   </v>
          </cell>
          <cell r="AM113">
            <v>26927</v>
          </cell>
          <cell r="AN113">
            <v>35874</v>
          </cell>
          <cell r="AO113">
            <v>35874</v>
          </cell>
        </row>
        <row r="114">
          <cell r="C114" t="str">
            <v/>
          </cell>
          <cell r="F114">
            <v>35842</v>
          </cell>
          <cell r="G114" t="str">
            <v>GARY</v>
          </cell>
          <cell r="H114" t="str">
            <v>LB</v>
          </cell>
          <cell r="I114">
            <v>6413</v>
          </cell>
          <cell r="J114" t="str">
            <v>MOBIL OIL, KAPLAN-D.R. HEBERT #2</v>
          </cell>
          <cell r="K114" t="str">
            <v>NEED BY 2-27-98</v>
          </cell>
          <cell r="L114">
            <v>1</v>
          </cell>
          <cell r="M114">
            <v>29240</v>
          </cell>
          <cell r="N114" t="str">
            <v xml:space="preserve">LINER HANGER, BROWN TYPE FLEX-LOK MECHANICAL SET,  
7.625 IN. X 9.625 IN. 43.50-47.00 LB/FT, 8.480 IN. 
 OD, 7.625 IN. ID,  Q-125 (RIGHT HAND SET)    </v>
          </cell>
          <cell r="O114">
            <v>29240</v>
          </cell>
          <cell r="P114">
            <v>35853</v>
          </cell>
          <cell r="Q114">
            <v>35853</v>
          </cell>
          <cell r="R114">
            <v>1</v>
          </cell>
          <cell r="S114">
            <v>29989</v>
          </cell>
          <cell r="T114" t="str">
            <v>7.625" VAM BOX X 7.75" 46.1# GRANT STL PIN  Q-125</v>
          </cell>
          <cell r="U114">
            <v>29989</v>
          </cell>
          <cell r="V114">
            <v>35853</v>
          </cell>
          <cell r="W114">
            <v>35853</v>
          </cell>
          <cell r="X114">
            <v>1</v>
          </cell>
          <cell r="Y114" t="str">
            <v>27410</v>
          </cell>
          <cell r="Z114" t="str">
            <v>TYPE  1 LANDING COLLAR  7.75" 46.1# GRANT STL BOX X PIN, Q-125</v>
          </cell>
          <cell r="AA114">
            <v>27410</v>
          </cell>
          <cell r="AB114">
            <v>35853</v>
          </cell>
          <cell r="AC114">
            <v>35853</v>
          </cell>
        </row>
        <row r="115">
          <cell r="C115" t="str">
            <v/>
          </cell>
          <cell r="F115">
            <v>35842</v>
          </cell>
          <cell r="G115" t="str">
            <v>DON</v>
          </cell>
          <cell r="H115" t="str">
            <v>LB</v>
          </cell>
          <cell r="I115">
            <v>6413</v>
          </cell>
          <cell r="J115" t="str">
            <v>SAM  GARY SL 15687  LEASE. FIELD ATCHAFALAYA  WELL# 2</v>
          </cell>
          <cell r="K115">
            <v>35851</v>
          </cell>
          <cell r="L115">
            <v>1</v>
          </cell>
          <cell r="M115">
            <v>299892745</v>
          </cell>
          <cell r="N115" t="str">
            <v xml:space="preserve">                                                      
  CROSSOVER BUSHING 9.625 IN. 53.50 LB/FT VAM SC BOX  
   X 9.625 IN. 53.50 LB/FT NJO PIN, 10.250 TOOL OD,   
  8.536 TOOL ID, 125 KSI MYS                          </v>
          </cell>
          <cell r="O115">
            <v>29989</v>
          </cell>
          <cell r="P115">
            <v>35850</v>
          </cell>
          <cell r="Q115">
            <v>35851</v>
          </cell>
          <cell r="R115">
            <v>1</v>
          </cell>
          <cell r="S115">
            <v>27410</v>
          </cell>
          <cell r="T115" t="str">
            <v xml:space="preserve"> LANDING COLLAR TYPE PT1, 9-5/8 IN. 53.5 LB/FT NJO  
 BOX X PIN, 9.848 IN. OD, 8.535 IN. ID, 4140 HT     Q-125                                   </v>
          </cell>
          <cell r="U115">
            <v>27410</v>
          </cell>
          <cell r="V115">
            <v>35850</v>
          </cell>
          <cell r="W115" t="str">
            <v>02-25-978</v>
          </cell>
        </row>
        <row r="116">
          <cell r="C116" t="str">
            <v/>
          </cell>
          <cell r="F116">
            <v>35843</v>
          </cell>
          <cell r="G116" t="str">
            <v>DON</v>
          </cell>
          <cell r="H116" t="str">
            <v>LB</v>
          </cell>
          <cell r="I116">
            <v>6413</v>
          </cell>
          <cell r="J116" t="str">
            <v>ADTI  SOUTH MARSH ISL  23  WELL # 10</v>
          </cell>
          <cell r="K116">
            <v>35857</v>
          </cell>
          <cell r="L116">
            <v>1</v>
          </cell>
          <cell r="M116">
            <v>292030692</v>
          </cell>
          <cell r="N116" t="str">
            <v>HMC HANGER 9 5/8 47-53.5# X11 3/4 65# VAM PIN X PIN Q-125</v>
          </cell>
          <cell r="O116">
            <v>29203</v>
          </cell>
          <cell r="P116">
            <v>35855</v>
          </cell>
          <cell r="Q116">
            <v>35857</v>
          </cell>
          <cell r="R116">
            <v>1</v>
          </cell>
          <cell r="S116">
            <v>299892343</v>
          </cell>
          <cell r="T116" t="str">
            <v xml:space="preserve"> CROSSOVER BUSHING, 9.625" VAM SC BOX X 9.625"   
 53.5# HYDRIL SLX PIN, 10.25 TOOL OD, 8.535 TOOL 
 ID, 125 KSI MYS                                 </v>
          </cell>
          <cell r="U116">
            <v>29989</v>
          </cell>
          <cell r="V116">
            <v>35855</v>
          </cell>
          <cell r="W116">
            <v>35857</v>
          </cell>
          <cell r="X116">
            <v>1</v>
          </cell>
          <cell r="Y116" t="str">
            <v>266730096</v>
          </cell>
          <cell r="Z116" t="str">
            <v xml:space="preserve"> LANDING COLLAR, TYPE PT2, W/BAFFLE 9.625 IN 53.50
 LB/FT SLX BOX X PIN 9.821 IN TOOL OD, 8.535 IN   
 TOOL ID, 110 KSI MYS                             </v>
          </cell>
          <cell r="AA116">
            <v>26673</v>
          </cell>
          <cell r="AB116">
            <v>35855</v>
          </cell>
          <cell r="AC116">
            <v>35857</v>
          </cell>
          <cell r="AD116">
            <v>1</v>
          </cell>
          <cell r="AE116">
            <v>999031941</v>
          </cell>
          <cell r="AF116" t="str">
            <v xml:space="preserve">                                                   
 FLOAT COLLAR BROWN TYPE DOUBLE VALVE PT, 9.625 IN.
  53.50 HYD. SLX BOX X PIN, 9.821 IN. TOOL OD,     
 8.520 IN. TOOL ID, 4140 HT                        </v>
          </cell>
          <cell r="AG116">
            <v>99903</v>
          </cell>
          <cell r="AH116">
            <v>35855</v>
          </cell>
          <cell r="AI116">
            <v>35857</v>
          </cell>
          <cell r="AJ116">
            <v>1</v>
          </cell>
          <cell r="AK116">
            <v>999031942</v>
          </cell>
          <cell r="AL116" t="str">
            <v xml:space="preserve"> SET SHOE, BROWN TYPE, 9.625 IN. 53.50 LB/FT HYDRIL
  SLX BOX, 9.821 IN. OD, 8.535 IN. ID, 110 MYS     </v>
          </cell>
          <cell r="AM116">
            <v>99903</v>
          </cell>
          <cell r="AN116">
            <v>35855</v>
          </cell>
          <cell r="AO116">
            <v>35857</v>
          </cell>
          <cell r="AP116">
            <v>1</v>
          </cell>
          <cell r="AQ116">
            <v>269340007</v>
          </cell>
          <cell r="AR116" t="str">
            <v xml:space="preserve"> LINER WIPER PLUG, BROWN TYPE 1, FOR 4.500 IN. 
 SLICK JOINT, 9.625 IN. 53.50-59.40 LB/FT, FOR 
 2.250 IN. OD NOSE DOUBLE SEAL PUMP DOWN PUMP, 
 8.000 IN OD STABILIZER, 2.016 IN. ID WIPER PLU
 W/1600 PSI SHEAR, NITRILE RUBBER              </v>
          </cell>
          <cell r="AS116">
            <v>26934</v>
          </cell>
          <cell r="AT116">
            <v>35855</v>
          </cell>
          <cell r="AU116">
            <v>35857</v>
          </cell>
        </row>
        <row r="117">
          <cell r="C117" t="str">
            <v/>
          </cell>
          <cell r="F117">
            <v>35843</v>
          </cell>
          <cell r="G117" t="str">
            <v>DON</v>
          </cell>
          <cell r="H117" t="str">
            <v>LB</v>
          </cell>
          <cell r="I117">
            <v>6413</v>
          </cell>
          <cell r="J117" t="str">
            <v>ADTI  SOUTH MARSH ISL  23  WELL # 10</v>
          </cell>
          <cell r="K117" t="str">
            <v>NEED  FOR  03-03-98</v>
          </cell>
          <cell r="L117">
            <v>1</v>
          </cell>
          <cell r="M117">
            <v>292100616</v>
          </cell>
          <cell r="N117" t="str">
            <v xml:space="preserve"> LINER HANGER, CMC, 9.625 IN. 53.50 LB/FT X VAM PIN 
 PIN X 11.750 IN. 60-66.7 LB/FT, 10.437 IN. OD,     
 8.560 TOOL ID, 8.525 DRIFT ID, W/RIGHT HAND SET    
 JAY, (GULF COAST STANDARD) 125 KSI MYS             </v>
          </cell>
          <cell r="O117">
            <v>29210</v>
          </cell>
          <cell r="P117">
            <v>35855</v>
          </cell>
          <cell r="Q117">
            <v>35857</v>
          </cell>
          <cell r="R117">
            <v>1</v>
          </cell>
          <cell r="S117">
            <v>274100812</v>
          </cell>
          <cell r="T117" t="str">
            <v xml:space="preserve">                                                   
 LANDING COLLAR, BROWN TYPE PT1, 9.625 IN. 53.5    
 LB/FT HYDRIL SUPREME LX BOX X PIN, 9.821 IN. TOOL 
 OD, 8.520 IN. TOOL ID, 4140 HT                    </v>
          </cell>
          <cell r="U117">
            <v>27410</v>
          </cell>
          <cell r="V117">
            <v>35855</v>
          </cell>
          <cell r="W117">
            <v>35857</v>
          </cell>
        </row>
        <row r="118">
          <cell r="C118" t="str">
            <v/>
          </cell>
          <cell r="F118">
            <v>35843</v>
          </cell>
          <cell r="G118" t="str">
            <v>DON</v>
          </cell>
          <cell r="H118" t="str">
            <v>LB</v>
          </cell>
          <cell r="I118">
            <v>6413</v>
          </cell>
          <cell r="J118" t="str">
            <v>ADTI  SOUTH MARSH ISL  23  WELL # 10</v>
          </cell>
          <cell r="K118" t="str">
            <v>NEED FOR  03-03-98</v>
          </cell>
          <cell r="L118">
            <v>1</v>
          </cell>
          <cell r="M118">
            <v>10176</v>
          </cell>
          <cell r="N118" t="str">
            <v xml:space="preserve">                                                   
  FLOAT COLLAR, BROWN TYPE SINGLE VALVE, W/ORIFICE,
  9.625 IN. 53.5 LB/FT 'SLX' BOX X PIN, 9.675 IN.  
  TOOL OD, 8.565 IN. TOOL ID, 110 KSI. MYS.        </v>
          </cell>
          <cell r="O118">
            <v>10176</v>
          </cell>
          <cell r="P118">
            <v>35855</v>
          </cell>
          <cell r="Q118">
            <v>35857</v>
          </cell>
          <cell r="R118">
            <v>1</v>
          </cell>
          <cell r="S118">
            <v>29755</v>
          </cell>
          <cell r="T118" t="str">
            <v>SEAL ASSY PBR W/ 3 SETS OF .235 CS BULLET SEALS 9.625" 53.5# SLX BOX 9.750 OD SEALS  10.250 TOOL OD 8.535" TOOL ID  10' LONG EXT  W/HALF MULE SHOE GUIDE 110 KSI MYS</v>
          </cell>
          <cell r="U118">
            <v>29755</v>
          </cell>
          <cell r="V118">
            <v>35855</v>
          </cell>
          <cell r="W118">
            <v>35857</v>
          </cell>
        </row>
        <row r="119">
          <cell r="C119" t="str">
            <v/>
          </cell>
          <cell r="F119">
            <v>35843</v>
          </cell>
          <cell r="G119" t="str">
            <v>GARY</v>
          </cell>
          <cell r="H119" t="str">
            <v>LB</v>
          </cell>
          <cell r="I119">
            <v>6413</v>
          </cell>
          <cell r="J119" t="str">
            <v>MOBIL OIL  KAPLAN, D.R. HEBERT #2</v>
          </cell>
          <cell r="K119" t="str">
            <v>NEED IN ABOUT 4 WEEKS</v>
          </cell>
          <cell r="L119">
            <v>1</v>
          </cell>
          <cell r="M119">
            <v>299892003</v>
          </cell>
          <cell r="N119" t="str">
            <v xml:space="preserve">BUSHING,CROSSOVER, 5.000 IN. 20.8-24.1 LB/FT VAM  
BOX X 5.000 IN. 21.40 LB/FT FL4S PIN, 5.563 IN.   
TOOL OD, 4.066 IN. TOOL ID, 16.00 IN. LONG, 125KSI
 MYS                                              </v>
          </cell>
          <cell r="O119">
            <v>29989</v>
          </cell>
          <cell r="P119">
            <v>35864</v>
          </cell>
          <cell r="Q119">
            <v>35864</v>
          </cell>
          <cell r="R119">
            <v>1</v>
          </cell>
          <cell r="S119">
            <v>266550145</v>
          </cell>
          <cell r="T119" t="str">
            <v xml:space="preserve"> LANDING COLLAR, BROWN TYPE PT2, 5 IN. 21.4 LB/FT 
 ABFL-4S BOX X PIN, 5.000 IN. OD, 4.066 IN. ID,   
 4140 HT 125,000 MIN. YIELD                       </v>
          </cell>
          <cell r="U119">
            <v>26655</v>
          </cell>
          <cell r="V119">
            <v>35864</v>
          </cell>
          <cell r="W119">
            <v>35864</v>
          </cell>
        </row>
        <row r="120">
          <cell r="C120" t="str">
            <v/>
          </cell>
          <cell r="F120">
            <v>35843</v>
          </cell>
          <cell r="G120" t="str">
            <v>Ken Rudd</v>
          </cell>
          <cell r="H120" t="str">
            <v>lb</v>
          </cell>
          <cell r="I120">
            <v>6413</v>
          </cell>
          <cell r="J120" t="str">
            <v>Phillips Petroleum ocsg-12008 Ship Shoal 349 We;; A-7 Mahogany</v>
          </cell>
          <cell r="K120" t="str">
            <v>Cust. to supply 40.00' Joint Csg. to build parts</v>
          </cell>
          <cell r="L120">
            <v>1</v>
          </cell>
          <cell r="M120" t="str">
            <v>301-37-xxxx</v>
          </cell>
          <cell r="N120" t="str">
            <v>9.875" 62.80# Q-125 Payzone Packer 20.00' Long with SLX B X B 11.25" OD</v>
          </cell>
          <cell r="O120" t="str">
            <v>301-37</v>
          </cell>
          <cell r="P120">
            <v>35869</v>
          </cell>
          <cell r="Q120">
            <v>35871</v>
          </cell>
          <cell r="R120">
            <v>1</v>
          </cell>
          <cell r="S120" t="str">
            <v>301-48-xxxx</v>
          </cell>
          <cell r="T120" t="str">
            <v>9.875" 62.80# Q-125 Lift Sub 8.00'Long with SLX B X P</v>
          </cell>
          <cell r="U120" t="str">
            <v xml:space="preserve"> 301-48</v>
          </cell>
          <cell r="V120">
            <v>35869</v>
          </cell>
          <cell r="W120">
            <v>35871</v>
          </cell>
          <cell r="X120">
            <v>1</v>
          </cell>
          <cell r="Y120" t="str">
            <v>301-51-xxxx</v>
          </cell>
          <cell r="Z120" t="str">
            <v>9.875" 62.80# Q-125 Bottom Sub 2.00' Long with SLX P X P</v>
          </cell>
          <cell r="AA120" t="str">
            <v>301-51</v>
          </cell>
          <cell r="AB120">
            <v>35869</v>
          </cell>
          <cell r="AC120">
            <v>35871</v>
          </cell>
        </row>
        <row r="121">
          <cell r="C121" t="str">
            <v/>
          </cell>
          <cell r="F121">
            <v>35843</v>
          </cell>
          <cell r="G121" t="str">
            <v>MELVILLE</v>
          </cell>
          <cell r="H121" t="str">
            <v>LB</v>
          </cell>
          <cell r="I121">
            <v>6413</v>
          </cell>
          <cell r="J121" t="str">
            <v xml:space="preserve">TEXACO ENRON COCKRELL </v>
          </cell>
          <cell r="K121" t="str">
            <v xml:space="preserve">NEED OVER NIGHT </v>
          </cell>
          <cell r="L121">
            <v>12</v>
          </cell>
          <cell r="M121">
            <v>78300600</v>
          </cell>
          <cell r="N121" t="str">
            <v xml:space="preserve">LANDING COLLAR W/BALL SEAT AND CATCHER ASSEMBLY  F/7" INSERT LANDING COLLAR W/ BALL SEAT AND   CATCHER 6061-T6 ALUMINUM                         </v>
          </cell>
          <cell r="O121">
            <v>26659</v>
          </cell>
          <cell r="P121">
            <v>35844</v>
          </cell>
          <cell r="Q121">
            <v>35844</v>
          </cell>
          <cell r="R121">
            <v>12</v>
          </cell>
          <cell r="S121">
            <v>78477501</v>
          </cell>
          <cell r="T121" t="str">
            <v xml:space="preserve">                                                 
 FLOAT SHOE ASSY, F/7.0 IN SERT FLOAT SHOE 7.000 
 ALU                                             </v>
          </cell>
          <cell r="V121">
            <v>35844</v>
          </cell>
          <cell r="W121">
            <v>35844</v>
          </cell>
          <cell r="X121" t="str">
            <v>4</v>
          </cell>
          <cell r="Y121">
            <v>78477504</v>
          </cell>
          <cell r="Z121" t="str">
            <v xml:space="preserve">                                         
FLOAT SHOE ASSY, F/4.5 INSERT FLOAT SHOE 
                                         </v>
          </cell>
          <cell r="AA121">
            <v>26681</v>
          </cell>
          <cell r="AB121">
            <v>35844</v>
          </cell>
          <cell r="AC121">
            <v>35844</v>
          </cell>
        </row>
        <row r="122">
          <cell r="C122" t="str">
            <v/>
          </cell>
          <cell r="F122">
            <v>35843</v>
          </cell>
          <cell r="G122" t="str">
            <v>DON</v>
          </cell>
          <cell r="H122" t="str">
            <v>LB</v>
          </cell>
          <cell r="I122">
            <v>6413</v>
          </cell>
          <cell r="J122" t="str">
            <v>STOCK</v>
          </cell>
          <cell r="K122" t="str">
            <v>NEED   02-25-98</v>
          </cell>
          <cell r="L122">
            <v>15</v>
          </cell>
          <cell r="M122">
            <v>79259002</v>
          </cell>
          <cell r="N122" t="str">
            <v>REDRESS KIT FOR ROTATING DOG SUB</v>
          </cell>
          <cell r="O122">
            <v>26542</v>
          </cell>
          <cell r="P122">
            <v>35851</v>
          </cell>
          <cell r="Q122">
            <v>35851</v>
          </cell>
          <cell r="R122">
            <v>8</v>
          </cell>
          <cell r="S122">
            <v>79259004</v>
          </cell>
          <cell r="T122" t="str">
            <v>REDRESS KITS FOR ROTATING DOG SUB</v>
          </cell>
          <cell r="U122">
            <v>26542</v>
          </cell>
          <cell r="V122">
            <v>35851</v>
          </cell>
          <cell r="W122">
            <v>35851</v>
          </cell>
          <cell r="X122">
            <v>10</v>
          </cell>
          <cell r="Y122" t="str">
            <v>079259001</v>
          </cell>
          <cell r="Z122" t="str">
            <v>REDRESS KIT FOR  ROTATING SUB</v>
          </cell>
          <cell r="AA122">
            <v>26542</v>
          </cell>
          <cell r="AB122">
            <v>35851</v>
          </cell>
          <cell r="AC122">
            <v>35851</v>
          </cell>
        </row>
        <row r="123">
          <cell r="C123" t="str">
            <v/>
          </cell>
          <cell r="F123">
            <v>35844</v>
          </cell>
          <cell r="G123" t="str">
            <v>MCDONALD</v>
          </cell>
          <cell r="H123" t="str">
            <v>LB</v>
          </cell>
          <cell r="I123">
            <v>6413</v>
          </cell>
          <cell r="J123" t="str">
            <v>MARKEL INCLINE</v>
          </cell>
          <cell r="K123" t="str">
            <v>NEED 03-06-98</v>
          </cell>
          <cell r="L123">
            <v>1</v>
          </cell>
          <cell r="M123">
            <v>424023800</v>
          </cell>
          <cell r="N123" t="str">
            <v>82-32, MODEL D RET. PROD. PKR.</v>
          </cell>
          <cell r="O123" t="str">
            <v>424-02</v>
          </cell>
          <cell r="P123">
            <v>35860</v>
          </cell>
          <cell r="R123">
            <v>1</v>
          </cell>
          <cell r="S123">
            <v>24323828</v>
          </cell>
          <cell r="T123" t="str">
            <v>B GUIDE, 2 7/8, 6.5#, EUE 8 RD PIN.</v>
          </cell>
          <cell r="U123">
            <v>35860</v>
          </cell>
          <cell r="V123">
            <v>35860</v>
          </cell>
          <cell r="X123">
            <v>1</v>
          </cell>
          <cell r="Y123" t="str">
            <v>801504863</v>
          </cell>
          <cell r="Z123" t="str">
            <v>SIZE 2.31 MODEL F NON PORTED SEATING NIPPLE. 2 7/8, EUE 8RD, BOX X PIN.</v>
          </cell>
          <cell r="AE123">
            <v>801502350</v>
          </cell>
          <cell r="AF123" t="str">
            <v>SIZE 2.31, MODEL F NON PORTED SEATING NIPPLE WITH 2 7/8, 6.4# NU 10RD BOX X PIN.</v>
          </cell>
          <cell r="AH123">
            <v>35860</v>
          </cell>
          <cell r="AJ123">
            <v>2</v>
          </cell>
          <cell r="AK123">
            <v>806873354</v>
          </cell>
          <cell r="AL123" t="str">
            <v>SIZE 2.31 MODEL FSG BY PASS BLANKING PLUG WITH REMOVABLE MANDREL</v>
          </cell>
          <cell r="AN123">
            <v>35860</v>
          </cell>
        </row>
        <row r="124">
          <cell r="C124" t="str">
            <v/>
          </cell>
          <cell r="F124">
            <v>35845</v>
          </cell>
          <cell r="G124" t="str">
            <v>DON</v>
          </cell>
          <cell r="H124" t="str">
            <v>LB</v>
          </cell>
          <cell r="I124">
            <v>6413</v>
          </cell>
          <cell r="J124" t="str">
            <v>SAMEDAN OIL LAKE  ARTHUR FOX  # 1</v>
          </cell>
          <cell r="K124" t="str">
            <v>ASAP</v>
          </cell>
          <cell r="L124">
            <v>1</v>
          </cell>
          <cell r="M124">
            <v>292435311</v>
          </cell>
          <cell r="N124" t="str">
            <v>7 5/8 39# BODY FOR FLEX-LOCK  10' LONG  VAM  PIN  X PIN       NOTE   MOUNT KIT ON  TOP</v>
          </cell>
          <cell r="O124">
            <v>29253</v>
          </cell>
          <cell r="P124">
            <v>35851</v>
          </cell>
          <cell r="Q124">
            <v>35851</v>
          </cell>
          <cell r="R124">
            <v>1</v>
          </cell>
          <cell r="S124">
            <v>292406304</v>
          </cell>
          <cell r="T124" t="str">
            <v>7 5/8 39#  X  9 5/8 53.5 #   FLEX LOCK KITS</v>
          </cell>
          <cell r="U124">
            <v>29240</v>
          </cell>
          <cell r="V124">
            <v>35851</v>
          </cell>
          <cell r="W124">
            <v>35851</v>
          </cell>
        </row>
        <row r="125">
          <cell r="C125" t="str">
            <v/>
          </cell>
          <cell r="F125">
            <v>35845</v>
          </cell>
          <cell r="G125" t="str">
            <v>DON</v>
          </cell>
          <cell r="H125" t="str">
            <v>LB</v>
          </cell>
          <cell r="I125">
            <v>6413</v>
          </cell>
          <cell r="J125" t="str">
            <v>ADTI  VERMILION 309 OCSG-16310 # 2</v>
          </cell>
          <cell r="K125" t="str">
            <v>NEED 03-01-98</v>
          </cell>
          <cell r="L125">
            <v>1</v>
          </cell>
          <cell r="M125">
            <v>299891915</v>
          </cell>
          <cell r="N125" t="str">
            <v xml:space="preserve"> BUSHING, BROWN TYPE CROSSOVER, 7.625 IN. VAM BOX X 
  7.625 IN. 33.70 LB/FT STL PIN, 8.25 IN. TOOL OD,  
 6.685 IN. TOOL ID, 18 IN. LONG 110 KSI MYS         </v>
          </cell>
          <cell r="O125">
            <v>29989</v>
          </cell>
          <cell r="P125">
            <v>35854</v>
          </cell>
          <cell r="Q125">
            <v>35855</v>
          </cell>
          <cell r="R125">
            <v>1</v>
          </cell>
          <cell r="S125">
            <v>266550271</v>
          </cell>
          <cell r="T125" t="str">
            <v xml:space="preserve">LANDING COLLAR, BROWN TYPE PT2, 7-5/8 IN. 33.7    
LB/FT SEAL TECH SUPER STL BOX X PIN, 7.650 IN. OD,
 6.685 IN. ID, 4140 HT                            </v>
          </cell>
          <cell r="U125">
            <v>26655</v>
          </cell>
          <cell r="V125">
            <v>35854</v>
          </cell>
          <cell r="W125">
            <v>35855</v>
          </cell>
          <cell r="X125">
            <v>1</v>
          </cell>
          <cell r="Y125" t="str">
            <v>999032053</v>
          </cell>
          <cell r="Z125" t="str">
            <v xml:space="preserve"> FLOAT COLLAR, BROWN TYPE PT DOUBLE VALVE 7.625 IN. 
  33.70 LB/FT STL BOX X PIN, 7.650 IN. TOOL OD,     
 6.685 IN. TOOL ID, 4140 HT                         </v>
          </cell>
          <cell r="AE125">
            <v>999032054</v>
          </cell>
          <cell r="AF125" t="str">
            <v xml:space="preserve">                                                     
 SET SHOE, TYPE 'V', 7.625 IN. 33.7 LB/FT STL BOX    
 BOX, 7.650 IN. TOOL OD, 6.750 IN. TOOL ID, 110 KSI  
  MYS                                                </v>
          </cell>
        </row>
        <row r="126">
          <cell r="C126" t="str">
            <v/>
          </cell>
          <cell r="F126">
            <v>35845</v>
          </cell>
          <cell r="G126" t="str">
            <v>DON</v>
          </cell>
          <cell r="H126" t="str">
            <v>LB</v>
          </cell>
          <cell r="I126">
            <v>6413</v>
          </cell>
          <cell r="J126" t="str">
            <v>ADTI  EUGENE ISL 58  WELL # 6</v>
          </cell>
          <cell r="K126" t="str">
            <v xml:space="preserve"> NEED 03-05-98</v>
          </cell>
          <cell r="L126">
            <v>2</v>
          </cell>
          <cell r="M126">
            <v>299891680</v>
          </cell>
          <cell r="N126" t="str">
            <v xml:space="preserve"> CROSSOVER BUSHING, 5.000 IN.18.0 LB/FT VAM BOX X  
 5.0 IN. 18# HYDRIL SUPREME "LX" PIN, 5.563 IN TOOL
 OD, 4.196 IN TOOL ID, 110 KSI MYS                 </v>
          </cell>
          <cell r="O126">
            <v>29989</v>
          </cell>
          <cell r="P126">
            <v>35856</v>
          </cell>
          <cell r="Q126">
            <v>35859</v>
          </cell>
        </row>
        <row r="127">
          <cell r="C127" t="str">
            <v/>
          </cell>
          <cell r="F127">
            <v>35845</v>
          </cell>
          <cell r="G127" t="str">
            <v>DON</v>
          </cell>
          <cell r="H127" t="str">
            <v>LB</v>
          </cell>
          <cell r="I127">
            <v>6413</v>
          </cell>
          <cell r="J127" t="str">
            <v>ADTI SOUTH MARSH ISL 119 OCSG- 17940 # 1</v>
          </cell>
          <cell r="K127" t="str">
            <v>NEED 03-01-98</v>
          </cell>
          <cell r="L127">
            <v>2</v>
          </cell>
          <cell r="M127">
            <v>299891680</v>
          </cell>
          <cell r="N127" t="str">
            <v xml:space="preserve"> CROSSOVER BUSHING, 5.000 IN.18.0 LB/FT VAM BOX X   
 5.0 IN. 18# HYDRIL SUPREME "LX" PIN, 5.563 IN TOOL 
 OD, 4.196 IN TOOL ID, 110 KSI MYS                  </v>
          </cell>
          <cell r="O127">
            <v>29989</v>
          </cell>
          <cell r="P127">
            <v>35854</v>
          </cell>
          <cell r="Q127">
            <v>35855</v>
          </cell>
          <cell r="R127">
            <v>2</v>
          </cell>
          <cell r="S127">
            <v>101703001</v>
          </cell>
          <cell r="T127" t="str">
            <v xml:space="preserve"> FLOAT COLLAR B.T. "PT" DOUBLE VALVE, 5.000 IN. 
 18.0 LB/FT HYD. 'SLX' BOX X PIN, 5.105 IN. TOOL
 OD, 4.196 IN. TOOL ID, 110 KSI MYS             </v>
          </cell>
          <cell r="U127">
            <v>10170</v>
          </cell>
          <cell r="V127">
            <v>35854</v>
          </cell>
          <cell r="W127">
            <v>35855</v>
          </cell>
        </row>
        <row r="128">
          <cell r="C128" t="str">
            <v/>
          </cell>
          <cell r="F128">
            <v>35846</v>
          </cell>
          <cell r="G128" t="str">
            <v>DON</v>
          </cell>
          <cell r="H128" t="str">
            <v>LB</v>
          </cell>
          <cell r="I128">
            <v>6413</v>
          </cell>
          <cell r="J128" t="str">
            <v>BOT   LINER DEPT</v>
          </cell>
          <cell r="K128" t="str">
            <v>NEXT SAIA  MOTOR FRT</v>
          </cell>
          <cell r="L128">
            <v>10</v>
          </cell>
          <cell r="M128">
            <v>269210170</v>
          </cell>
          <cell r="N128" t="str">
            <v xml:space="preserve">TYPE I LINER WIPER PLUG LINER WIPER PLUG, BROWN  
TYPE 1, 5 1/2 IN. 15.50-23 LB/FT CSG, FOR 1.812 O
STABILIZER, 1.641 IN. ID WIPER PLUG, WITH SHEAR  </v>
          </cell>
          <cell r="O128">
            <v>26921</v>
          </cell>
          <cell r="P128">
            <v>35849</v>
          </cell>
          <cell r="Q128">
            <v>35849</v>
          </cell>
          <cell r="R128">
            <v>5</v>
          </cell>
          <cell r="S128">
            <v>78300703</v>
          </cell>
          <cell r="T128" t="str">
            <v xml:space="preserve"> GUIDE SHOE ASSEMBLY F/9.625" INSERT GUIDE SHOE,
 6061-T6 ALUMINUM                               </v>
          </cell>
          <cell r="V128">
            <v>35849</v>
          </cell>
          <cell r="W128">
            <v>35849</v>
          </cell>
          <cell r="X128">
            <v>5</v>
          </cell>
          <cell r="Y128" t="str">
            <v>078300700</v>
          </cell>
          <cell r="Z128" t="str">
            <v xml:space="preserve">                                                   
  GUIDE SHOE ASSY. F/7" INSERT GUIDE SHOE, 6061-T6 
  ALUM.                                            </v>
          </cell>
          <cell r="AD128">
            <v>5</v>
          </cell>
          <cell r="AE128" t="str">
            <v>0-78477501</v>
          </cell>
          <cell r="AF128" t="str">
            <v xml:space="preserve">                                                   
 FLOAT SHOE ASSY, F/7.0 IN SERT FLOAT SHOE 7.000   
 ALU                                               </v>
          </cell>
          <cell r="AH128">
            <v>35849</v>
          </cell>
          <cell r="AI128">
            <v>35849</v>
          </cell>
          <cell r="AJ128">
            <v>5</v>
          </cell>
          <cell r="AK128" t="str">
            <v>07-8300603</v>
          </cell>
          <cell r="AL128" t="str">
            <v xml:space="preserve">                                                
 LANDING COLLAR W/BALL SEAT AND CATCHER ASSEMBLY
 F/9.625" INSERT LAND COLLAR W/ BALL SEAT AND   
 CATCHER 6061-T6 ALUMINUM                       </v>
          </cell>
          <cell r="AN128">
            <v>35849</v>
          </cell>
          <cell r="AO128">
            <v>35849</v>
          </cell>
          <cell r="AP128">
            <v>10</v>
          </cell>
          <cell r="AQ128">
            <v>78300600</v>
          </cell>
          <cell r="AR128" t="str">
            <v xml:space="preserve">                                                 
 LANDING COLLAR W/BALL SEAT AND CATCHER ASSEMBLY 
 F/7" INSERT LANDING COLLAR W/ BALL SEAT AND     
 CATCHER 6061-T6 ALUMINUM                        </v>
          </cell>
          <cell r="AT128">
            <v>35849</v>
          </cell>
          <cell r="AU128">
            <v>35849</v>
          </cell>
        </row>
        <row r="129">
          <cell r="C129" t="str">
            <v/>
          </cell>
          <cell r="F129">
            <v>35846</v>
          </cell>
          <cell r="G129" t="str">
            <v>GARY</v>
          </cell>
          <cell r="H129" t="str">
            <v>LB</v>
          </cell>
          <cell r="I129">
            <v>6413</v>
          </cell>
          <cell r="J129" t="str">
            <v xml:space="preserve">SPIRIT ENERGY VERMILION 14 S/L 3522  S/T #3 </v>
          </cell>
          <cell r="K129" t="str">
            <v>PLEASE SHIP TO RECEIVE BY MARCH 5,1998</v>
          </cell>
          <cell r="L129">
            <v>2</v>
          </cell>
          <cell r="M129">
            <v>274100305</v>
          </cell>
          <cell r="N129" t="str">
            <v xml:space="preserve">                                                   
 LANDING COLLAR, BROWN TYPE PT1, ONE PLUG METHOD,  
 3.50 IN. 9.3 LB/FT HYDRIL CS BOX X PIN, 3.915 IN. 
 OD, 2.920 IN. ID, F/1.844 PHENOLIC PDP            </v>
          </cell>
          <cell r="O129">
            <v>27410</v>
          </cell>
          <cell r="P129">
            <v>35859</v>
          </cell>
          <cell r="Q129">
            <v>35859</v>
          </cell>
          <cell r="R129">
            <v>2</v>
          </cell>
          <cell r="S129">
            <v>999031698</v>
          </cell>
          <cell r="T129" t="str">
            <v xml:space="preserve">                                                  
FLOAT COLLAR, BROWN TYPE "PT" DOUBLE VALVE, 3.500 
IN. 9.3 LB/FT HYDRIL CS BOX X PIN, 3.915 IN. OD,  
2.920 IN. ID, 4140 HT                             </v>
          </cell>
          <cell r="U129">
            <v>99903</v>
          </cell>
          <cell r="V129">
            <v>35859</v>
          </cell>
          <cell r="W129">
            <v>35859</v>
          </cell>
          <cell r="X129">
            <v>2</v>
          </cell>
          <cell r="Y129" t="str">
            <v>999030634</v>
          </cell>
          <cell r="Z129" t="str">
            <v xml:space="preserve">SET SHOE, BROWN TYPE V, 3.500 IN. 9.30 LB/FT, HYD
CS BOX 3.906 IN. OD, 2.992 IN. ID, 1020 CD       </v>
          </cell>
          <cell r="AD129">
            <v>1</v>
          </cell>
          <cell r="AE129">
            <v>29989</v>
          </cell>
          <cell r="AF129" t="str">
            <v xml:space="preserve">BUSHINGS, BROWN TYPE CROSSOVER, 3 1/2 IN. 9.3 LB/FT FOX "K'
 BOX X 3 1/2 IN. 9.3 LB/FT C.S. PIN, 
 4140 HT                      </v>
          </cell>
        </row>
        <row r="130">
          <cell r="C130" t="str">
            <v/>
          </cell>
          <cell r="F130">
            <v>35846</v>
          </cell>
          <cell r="G130" t="str">
            <v>DON</v>
          </cell>
          <cell r="H130" t="str">
            <v>LB</v>
          </cell>
          <cell r="I130">
            <v>6413</v>
          </cell>
          <cell r="J130" t="str">
            <v>BOT   LINER DEPT</v>
          </cell>
          <cell r="K130" t="str">
            <v>PLEASE SHIP TO RECEIVE BY 02-23-98</v>
          </cell>
          <cell r="M130" t="str">
            <v>078238605</v>
          </cell>
          <cell r="N130" t="str">
            <v xml:space="preserve">                                                 
 INSERT SEAL UNIT/9.625" 43.5-53.5#/ 8.892-8.379 
 CSG ID/8.369 TOOL OD 2.890 TOOL ID,6061-T6      
 ALUMINUM                                        </v>
          </cell>
          <cell r="P130">
            <v>35849</v>
          </cell>
          <cell r="Q130">
            <v>35849</v>
          </cell>
          <cell r="R130">
            <v>100</v>
          </cell>
          <cell r="S130" t="str">
            <v>092604845</v>
          </cell>
          <cell r="T130" t="str">
            <v xml:space="preserve"> MOLYGLASS V-RING; NOM. SIZE 4 1/4" OD 3 3/4" ID;  
 ACTUAL SIZE 4.280" OD X 3.720" ID X .240" LONG AS 
 PER DRWG. 780-949 REPLACES WX-A6048-CA BPS-F101:  </v>
          </cell>
          <cell r="V130">
            <v>35849</v>
          </cell>
          <cell r="W130">
            <v>35849</v>
          </cell>
          <cell r="X130">
            <v>300</v>
          </cell>
          <cell r="Y130" t="str">
            <v>WX7642200</v>
          </cell>
          <cell r="Z130" t="str">
            <v xml:space="preserve">                                
SHEAR SCREW, 3/8 X 3/4 IN. LONG 
                                </v>
          </cell>
          <cell r="AD130">
            <v>50</v>
          </cell>
          <cell r="AE130" t="str">
            <v>091193480</v>
          </cell>
          <cell r="AF130" t="str">
            <v xml:space="preserve">                                                   
 SPRING DOG F/ 2RH SETTING TOOL; AS PER DRWG.      
 B119348 NOTE: BAG PARTS 50 PCS. PER BAG AND LABEL 
 BAG WITH COMM. NO; P.O. NO; &amp; QTY.                </v>
          </cell>
          <cell r="AH130">
            <v>35849</v>
          </cell>
          <cell r="AI130">
            <v>35849</v>
          </cell>
          <cell r="AJ130">
            <v>100</v>
          </cell>
          <cell r="AK130" t="str">
            <v>WX1204610</v>
          </cell>
          <cell r="AL130" t="str">
            <v xml:space="preserve">SCREW,SOC HD 0.375NC X 0. 625   </v>
          </cell>
          <cell r="AN130">
            <v>35849</v>
          </cell>
          <cell r="AO130">
            <v>35849</v>
          </cell>
          <cell r="AP130">
            <v>100</v>
          </cell>
          <cell r="AQ130" t="str">
            <v>WX1169560</v>
          </cell>
          <cell r="AR130" t="str">
            <v xml:space="preserve">                                                 
 SOCKET CAP SCREW, 3/8 IN. X 1/2 IN. ASTM A574   
                                                 </v>
          </cell>
          <cell r="AT130">
            <v>35849</v>
          </cell>
          <cell r="AU130">
            <v>35849</v>
          </cell>
        </row>
        <row r="131">
          <cell r="C131" t="str">
            <v/>
          </cell>
          <cell r="F131">
            <v>35846</v>
          </cell>
          <cell r="G131" t="str">
            <v>Ken Rudd</v>
          </cell>
          <cell r="H131" t="str">
            <v>LB</v>
          </cell>
          <cell r="I131">
            <v>6413</v>
          </cell>
          <cell r="J131" t="str">
            <v>No cert. papers on l-80 csg. was OK'd by Kerry Redmond Denbury Management Per Kenneth Rudd 2-20-98</v>
          </cell>
          <cell r="K131" t="str">
            <v>Call Kenneth Rudd When ready. Hot Shot can maybe pickup lift subs at Liner Shoes Inc. in Houston</v>
          </cell>
          <cell r="L131">
            <v>1</v>
          </cell>
          <cell r="M131" t="str">
            <v>301374707</v>
          </cell>
          <cell r="N131" t="str">
            <v>7.00" 26# 23# Drift L-80 Payzone Packer 20.00" Long Butt Box X Box 8.00" OD</v>
          </cell>
          <cell r="O131" t="str">
            <v>301-37</v>
          </cell>
          <cell r="P131">
            <v>35848</v>
          </cell>
          <cell r="Q131">
            <v>35849</v>
          </cell>
        </row>
        <row r="132">
          <cell r="C132" t="str">
            <v/>
          </cell>
          <cell r="F132">
            <v>35849</v>
          </cell>
          <cell r="G132" t="str">
            <v>BENNY VINCENT</v>
          </cell>
          <cell r="H132" t="str">
            <v>LB</v>
          </cell>
          <cell r="I132">
            <v>6413</v>
          </cell>
          <cell r="J132" t="str">
            <v>GRADY CRAWFORD CONSTRUCTION</v>
          </cell>
          <cell r="K132" t="str">
            <v>ATTN; TED EDWARDS</v>
          </cell>
          <cell r="L132">
            <v>16</v>
          </cell>
          <cell r="M132" t="str">
            <v>046136401</v>
          </cell>
          <cell r="N132" t="str">
            <v>1 3/8" Fishing neck with 2 7/8" EU 8rd pin down Dwg#461364-01</v>
          </cell>
          <cell r="P132">
            <v>35849</v>
          </cell>
          <cell r="Q132">
            <v>35849</v>
          </cell>
        </row>
        <row r="133">
          <cell r="C133" t="str">
            <v/>
          </cell>
          <cell r="F133">
            <v>35849</v>
          </cell>
          <cell r="G133" t="str">
            <v>Rishma Prasad</v>
          </cell>
          <cell r="H133" t="str">
            <v>LB</v>
          </cell>
          <cell r="I133">
            <v>6413</v>
          </cell>
          <cell r="J133" t="str">
            <v>Chevron - South Marsh Island 288 well #1 wellbore #2, OCSG 2316, 7" 32# x 9 5/8 53.5 # Q125 liner hanger hookup</v>
          </cell>
          <cell r="K133" t="str">
            <v>(attn Roy &amp; Gary: qty 1 lwp &amp; qty 1 of each of the insert  items will be allocated to this well, not all of them)</v>
          </cell>
          <cell r="L133">
            <v>10</v>
          </cell>
          <cell r="M133" t="str">
            <v>269210046</v>
          </cell>
          <cell r="N133" t="str">
            <v xml:space="preserve">LINER WIPER PLUG, BROWN TYPE 1, 7 IN. 26-32 LB/FT
 FOR 1.813 IN. OD PUMP DOWN PLUG, 5.750 IN. OD   
STABILIZER, WITH SHEAR PINS                      </v>
          </cell>
          <cell r="O133" t="str">
            <v>269-21</v>
          </cell>
          <cell r="P133">
            <v>35853</v>
          </cell>
          <cell r="Q133">
            <v>35852</v>
          </cell>
          <cell r="R133">
            <v>5</v>
          </cell>
          <cell r="S133" t="str">
            <v>078300803</v>
          </cell>
          <cell r="T133" t="str">
            <v xml:space="preserve">FLOAT VALVE ASSY. F/7" INSERT FLOAT VALVE PHENOLIC
FLOAT VALVE ASSEMBLY PHEN OLIC F/7" INSERT        </v>
          </cell>
          <cell r="U133">
            <v>26662</v>
          </cell>
          <cell r="V133">
            <v>35853</v>
          </cell>
          <cell r="W133">
            <v>35852</v>
          </cell>
          <cell r="X133">
            <v>5</v>
          </cell>
          <cell r="Y133" t="str">
            <v>078300700</v>
          </cell>
          <cell r="Z133" t="str">
            <v xml:space="preserve">GUIDE SHOE ASSY. F/7" INSERT GUIDE SHOE, 6061-T6 
ALUM.                                            </v>
          </cell>
          <cell r="AA133">
            <v>26681</v>
          </cell>
          <cell r="AB133">
            <v>35853</v>
          </cell>
          <cell r="AC133">
            <v>35852</v>
          </cell>
        </row>
        <row r="134">
          <cell r="C134" t="str">
            <v/>
          </cell>
          <cell r="F134">
            <v>35850</v>
          </cell>
          <cell r="G134" t="str">
            <v>BENNY VINCENT</v>
          </cell>
          <cell r="H134" t="str">
            <v>LB</v>
          </cell>
          <cell r="I134">
            <v>6413</v>
          </cell>
          <cell r="J134" t="str">
            <v>DENBURY MGMT LAKE CHICOT KERZWEG #8</v>
          </cell>
          <cell r="K134" t="str">
            <v>PLEASE HOTSHOT BY THIS EVENING</v>
          </cell>
          <cell r="L134">
            <v>1</v>
          </cell>
          <cell r="M134" t="str">
            <v>30150XXXX</v>
          </cell>
          <cell r="N134" t="str">
            <v xml:space="preserve">TEST PACKER - 4.500" X-HOLE DRILL PIPE WITH 8.00" O.D. RUBBER </v>
          </cell>
          <cell r="O134">
            <v>30150</v>
          </cell>
          <cell r="P134">
            <v>35850</v>
          </cell>
          <cell r="Q134">
            <v>35850</v>
          </cell>
        </row>
        <row r="135">
          <cell r="C135" t="str">
            <v/>
          </cell>
          <cell r="F135">
            <v>35851</v>
          </cell>
          <cell r="G135" t="str">
            <v>DON</v>
          </cell>
          <cell r="H135" t="str">
            <v>LB</v>
          </cell>
          <cell r="I135">
            <v>6413</v>
          </cell>
          <cell r="J135" t="str">
            <v>WALTER OIL GAS  EUGENE ISL 29 WELL# 2 OCSG-16340</v>
          </cell>
          <cell r="K135" t="str">
            <v xml:space="preserve"> MOTOR FRT  </v>
          </cell>
          <cell r="L135">
            <v>1</v>
          </cell>
          <cell r="M135" t="str">
            <v>29989</v>
          </cell>
          <cell r="N135" t="str">
            <v xml:space="preserve"> BUSHING, BROWN TYPE CROSSOVER, 5.500 IN.          
 17.00-26.80 LB/FT VAM BOX X 5.500 IN. 26.00 LB/FT 
 VAM FJL PIN, 6.060 IN. TOOL OD, 4.??? IN. TOOL ID,  P-110</v>
          </cell>
          <cell r="O135">
            <v>29989</v>
          </cell>
          <cell r="P135">
            <v>35869</v>
          </cell>
          <cell r="Q135">
            <v>35872</v>
          </cell>
          <cell r="R135">
            <v>1</v>
          </cell>
          <cell r="S135" t="str">
            <v>26655</v>
          </cell>
          <cell r="T135" t="str">
            <v xml:space="preserve">                                                    
 LANDING COLLAR, PT2, 5.500 IN. 26.00 LB/FT VAM FJL 
  BOX X PIN, 5.579 IN. TOOL OD, 4.??? IN. TOOL ID,  
 1110 KSI MYS                                        </v>
          </cell>
          <cell r="U135">
            <v>26655</v>
          </cell>
          <cell r="V135">
            <v>35869</v>
          </cell>
          <cell r="W135">
            <v>35872</v>
          </cell>
          <cell r="X135">
            <v>1</v>
          </cell>
          <cell r="Y135" t="str">
            <v>999031035</v>
          </cell>
          <cell r="Z135" t="str">
            <v xml:space="preserve">                                                  
 SET SHOE, TYPE V, 5-1/2 IN. 26 LB/FT VAM FJL BOX,
 5.539 IN. OD, 4.548 IN. ID, 4140 HT              </v>
          </cell>
          <cell r="AA135">
            <v>99903</v>
          </cell>
          <cell r="AB135">
            <v>35869</v>
          </cell>
          <cell r="AC135">
            <v>35872</v>
          </cell>
        </row>
        <row r="136">
          <cell r="C136" t="str">
            <v/>
          </cell>
          <cell r="F136">
            <v>35851</v>
          </cell>
          <cell r="G136" t="str">
            <v>GARY</v>
          </cell>
          <cell r="H136" t="str">
            <v>LB</v>
          </cell>
          <cell r="I136">
            <v>6413</v>
          </cell>
          <cell r="J136" t="str">
            <v>SPIRIT ENERGY NORMAN A-8 S/T</v>
          </cell>
          <cell r="K136" t="str">
            <v>MOTOR FRIEGHT TO RECEVE BY 3-6-98</v>
          </cell>
          <cell r="L136">
            <v>1</v>
          </cell>
          <cell r="M136" t="str">
            <v>299891578</v>
          </cell>
          <cell r="N136" t="str">
            <v xml:space="preserve">BUSHING, BROWN TYPE CROSSOVER, 5.000 IN. 15-18#
VAM BOX X 5.000 18.0O LB/FT 'STL' PIN, 5.56 IN.
OD, 4.206 ID, 110KSI                           </v>
          </cell>
          <cell r="O136">
            <v>29989</v>
          </cell>
          <cell r="P136">
            <v>35860</v>
          </cell>
          <cell r="Q136">
            <v>35861</v>
          </cell>
          <cell r="R136">
            <v>1</v>
          </cell>
          <cell r="S136" t="str">
            <v>999031184</v>
          </cell>
          <cell r="T136" t="str">
            <v xml:space="preserve">                                                 
SET SHOE,BROWN TYPE "V", 5 IN. 18 LB/FT STL BOX, 
5.017 IN. OD, 4.250 IN. 110 KSI                  </v>
          </cell>
          <cell r="U136">
            <v>99903</v>
          </cell>
          <cell r="V136">
            <v>35860</v>
          </cell>
          <cell r="W136">
            <v>35861</v>
          </cell>
        </row>
        <row r="137">
          <cell r="C137" t="str">
            <v/>
          </cell>
          <cell r="F137">
            <v>35851</v>
          </cell>
          <cell r="G137" t="str">
            <v>GARY</v>
          </cell>
          <cell r="H137" t="str">
            <v>LB</v>
          </cell>
          <cell r="I137">
            <v>6413</v>
          </cell>
          <cell r="J137" t="str">
            <v>SPIRIT ENERGY NORMAN A-8 S/T</v>
          </cell>
          <cell r="K137" t="str">
            <v>MOTOR FRIEGHT TO RECEVE BY 3-12-98</v>
          </cell>
          <cell r="L137">
            <v>1</v>
          </cell>
          <cell r="M137" t="str">
            <v>297010506</v>
          </cell>
          <cell r="N137" t="str">
            <v xml:space="preserve">                                                 
POLISHED BORE RECEPTACLE, BROWN TYPE, 5.000 IN.  
VAM PIN X PIN , 5.250 IN. TOOL OD, 4.000 IN. TOOL
ID, 20 FT, 4140 HT                               </v>
          </cell>
          <cell r="O137">
            <v>29701</v>
          </cell>
          <cell r="P137">
            <v>35866</v>
          </cell>
          <cell r="Q137">
            <v>35866</v>
          </cell>
        </row>
        <row r="138">
          <cell r="C138" t="str">
            <v/>
          </cell>
          <cell r="F138">
            <v>35851</v>
          </cell>
          <cell r="G138" t="str">
            <v>GARY</v>
          </cell>
          <cell r="H138" t="str">
            <v>LB</v>
          </cell>
          <cell r="I138">
            <v>6413</v>
          </cell>
          <cell r="J138" t="str">
            <v>SPIRIT ENERGY NORMAN A-8 S/T</v>
          </cell>
          <cell r="K138" t="str">
            <v>MOTOR FRIEGHT TO RECEVE BY 3-13-99</v>
          </cell>
          <cell r="L138">
            <v>1</v>
          </cell>
          <cell r="M138" t="str">
            <v>272200428</v>
          </cell>
          <cell r="N138" t="str">
            <v xml:space="preserve">SEAL ASSEMBLY, TIEBACK, W/3 SETS OF .250 CS MG
SEALS, 5.00 IN. 18.00 LB/FT VAM BOX, 5.250 IN.
SEAL OD, 5.750 IN. OD, 4.250 IN ID, 10 FT.    
EXT.,W/HALF MULESHOE GUIDE, 110 KSI MYS       </v>
          </cell>
          <cell r="O138">
            <v>27220</v>
          </cell>
          <cell r="P138">
            <v>35867</v>
          </cell>
          <cell r="Q138">
            <v>35868</v>
          </cell>
        </row>
        <row r="139">
          <cell r="C139" t="str">
            <v/>
          </cell>
          <cell r="F139">
            <v>35851</v>
          </cell>
          <cell r="G139" t="str">
            <v>. MELVILLE</v>
          </cell>
          <cell r="H139" t="str">
            <v>lb</v>
          </cell>
          <cell r="I139">
            <v>6413</v>
          </cell>
          <cell r="J139" t="str">
            <v>TEXAS MERIDIAN EXPLORATION S/L 15710 #1 CAMERON PARISH</v>
          </cell>
          <cell r="K139" t="str">
            <v>HOT RUSH ATTENTION KEN  HUDDLESTON</v>
          </cell>
          <cell r="L139">
            <v>1</v>
          </cell>
          <cell r="M139" t="str">
            <v>292535325</v>
          </cell>
          <cell r="N139" t="str">
            <v xml:space="preserve">BODY, HYDRAULIC FLEX-LOCK LINER HANGER, 7.625 IN.
39.00 LB/FT VAM PIN X PIN X 9.625 IN, 15 FT LG,  
TOOL OD 7.625 X 6.625 ID, P110                   </v>
          </cell>
          <cell r="O139">
            <v>29253</v>
          </cell>
          <cell r="P139">
            <v>35854</v>
          </cell>
          <cell r="Q139">
            <v>35854</v>
          </cell>
          <cell r="R139">
            <v>1</v>
          </cell>
          <cell r="S139" t="str">
            <v>292506308</v>
          </cell>
          <cell r="T139" t="str">
            <v xml:space="preserve"> LINER HANGER, BROWN TYPE HYDRAULIC FLEX- LOCK,   
 7.625 IN. X 9.625 IN. 53.50 LB/FT, 8.359 IN. OD, 
 7.625 IN. ID, 4140 HT                            </v>
          </cell>
          <cell r="U139">
            <v>29250</v>
          </cell>
          <cell r="V139">
            <v>35854</v>
          </cell>
          <cell r="W139">
            <v>35854</v>
          </cell>
        </row>
        <row r="140">
          <cell r="C140" t="str">
            <v/>
          </cell>
          <cell r="F140">
            <v>35851</v>
          </cell>
          <cell r="G140" t="str">
            <v>Gary Hoffpauir</v>
          </cell>
          <cell r="H140" t="str">
            <v>LB</v>
          </cell>
          <cell r="I140">
            <v>6413</v>
          </cell>
          <cell r="J140" t="str">
            <v>MOBIL HIGH ISLAND 573  F-23</v>
          </cell>
          <cell r="K140" t="str">
            <v>PLEASE SHIP TO RECEVE BY 3-5-98</v>
          </cell>
          <cell r="L140" t="str">
            <v>1`</v>
          </cell>
          <cell r="M140" t="str">
            <v>294010054</v>
          </cell>
          <cell r="N140" t="str">
            <v xml:space="preserve">RS' PROFILE BUSHING, BROWN TYPE, 7.625 IN.     
26.40-47.10 LB/FT VAM PIN X SPCL. CL. BOX, 8.250
IN. TOOL OD, 6.875 IN. TOOL ID, 110 KSI MYS     </v>
          </cell>
          <cell r="O140">
            <v>29401</v>
          </cell>
          <cell r="P140">
            <v>35859</v>
          </cell>
          <cell r="Q140">
            <v>35859</v>
          </cell>
          <cell r="R140">
            <v>1</v>
          </cell>
          <cell r="S140" t="str">
            <v>29992</v>
          </cell>
          <cell r="T140" t="str">
            <v xml:space="preserve">NIPPLE, BROWN TYPE, 7.625 IN. 29.7 LB/FT VAM PIN X 
 PIN, 7.625 IN. OD, 6.875 IN. ID, 6 FT. LONG,     
P-110                                              </v>
          </cell>
          <cell r="U140">
            <v>29992</v>
          </cell>
          <cell r="V140">
            <v>35859</v>
          </cell>
          <cell r="W140">
            <v>35859</v>
          </cell>
          <cell r="X140">
            <v>1</v>
          </cell>
          <cell r="Y140" t="str">
            <v>299900611</v>
          </cell>
          <cell r="Z140" t="str">
            <v xml:space="preserve">                                               
 COLLAR, BROWN TYPE, 7.625 VAM BOX X BOX, 8.500
 IN.TOOL OD, 6.969 IN. TOOL ID, 4140 HT        </v>
          </cell>
          <cell r="AA140">
            <v>29990</v>
          </cell>
          <cell r="AB140">
            <v>35859</v>
          </cell>
          <cell r="AC140">
            <v>35859</v>
          </cell>
          <cell r="AD140">
            <v>1</v>
          </cell>
          <cell r="AE140" t="str">
            <v>292030691</v>
          </cell>
          <cell r="AF140" t="str">
            <v xml:space="preserve">LINER HANGER, TYPE HYDRAULIC SET HMC, 7.625 IN.   
29.7 LB/FT X 9-5/8 IN. 53.50 LB/FT, VAM PIN X PIN 
8.312 IN. OD, 6.780 IN. TOOL ID, 1,444 PSI SETTING
PRESSURE, 140 KSI MYS CYLINDER, 125 KSI MYS BODY, 
MUST DRIFT 6.750 (GULF COAST STANDARD)            </v>
          </cell>
          <cell r="AG140">
            <v>29203</v>
          </cell>
          <cell r="AH140">
            <v>35859</v>
          </cell>
          <cell r="AI140">
            <v>35859</v>
          </cell>
          <cell r="AJ140">
            <v>1</v>
          </cell>
          <cell r="AK140" t="str">
            <v>29989</v>
          </cell>
          <cell r="AL140" t="str">
            <v xml:space="preserve">                                                  
 BUSHING, BROWN TYPE CROSSOVER, 7-5/8 IN. 29.7    
 LB/FT VAM BOX X 7.625" 29.7#  VAM FJL  PIN, 7.653 IN. OD, 6.875 IN. ID, 
 4140 HT                                          </v>
          </cell>
          <cell r="AM140">
            <v>29989</v>
          </cell>
          <cell r="AN140">
            <v>35859</v>
          </cell>
          <cell r="AO140">
            <v>35859</v>
          </cell>
        </row>
        <row r="141">
          <cell r="C141" t="str">
            <v/>
          </cell>
          <cell r="F141">
            <v>35852</v>
          </cell>
          <cell r="G141" t="str">
            <v>Gary Hoffpauir</v>
          </cell>
          <cell r="H141" t="str">
            <v>LB</v>
          </cell>
          <cell r="I141">
            <v>6413</v>
          </cell>
          <cell r="J141" t="str">
            <v>Phillips Petroleum  SUNRISE FIELD DUPLANTIS #1</v>
          </cell>
          <cell r="K141" t="str">
            <v>PLEASE SHIP SOON AS POSSIBLE, JOB UP IN 3-4 DAYS</v>
          </cell>
          <cell r="L141">
            <v>1</v>
          </cell>
          <cell r="M141" t="str">
            <v>296290117</v>
          </cell>
          <cell r="N141" t="str">
            <v xml:space="preserve">"ZXP' LINER PACKER W/HOLD DOWN SLIPS, W/RH        
PROFILE, 5.500 IN 17.0 LB/FT VAM BOX DOWN X 7.625 
IN 39.00 LB/FT W/10 FT TYPE PBR EXT, 6.375 EXT OD,
 5.750 EXT ID, 6.410 TOOL OD, 4.800 TOOL ID,      
40,000 LBS SET, 125 KSI MYS                       </v>
          </cell>
          <cell r="O141">
            <v>29629</v>
          </cell>
          <cell r="P141">
            <v>35857</v>
          </cell>
          <cell r="Q141">
            <v>35857</v>
          </cell>
          <cell r="R141">
            <v>1</v>
          </cell>
          <cell r="S141" t="str">
            <v>292100612</v>
          </cell>
          <cell r="T141" t="str">
            <v xml:space="preserve">LINER HANGER, TYPE CMC, 5.500 IN. VAM PIN X PIN,   
7.625 IN. 29.7-33.7#, 6.500 IN. TOOL OD, 4.800 IN. 
 TOOL ID, 4.767" DRIFT ID, W/RH SET JAY, (GULF     
COAST STANDARD) 125 KSI MYS                        </v>
          </cell>
          <cell r="U141">
            <v>29210</v>
          </cell>
          <cell r="V141">
            <v>35857</v>
          </cell>
          <cell r="W141">
            <v>35857</v>
          </cell>
          <cell r="X141">
            <v>1</v>
          </cell>
          <cell r="Y141" t="str">
            <v>299891901</v>
          </cell>
          <cell r="Z141" t="str">
            <v xml:space="preserve">BUSHING, BROWN TYPE CROSSOVER, 5.500 IN.           
17.00-26.00 LB/FT VAM BOX X 5.500 IN. 23.00 LB/FT  
STL PIN, 6.070 IN. TOOL OD, 4.600 IN. TOOL ID, 110 
 KSI MYS.                                          </v>
          </cell>
          <cell r="AA141">
            <v>29989</v>
          </cell>
          <cell r="AB141">
            <v>35857</v>
          </cell>
          <cell r="AC141">
            <v>35857</v>
          </cell>
          <cell r="AD141">
            <v>1</v>
          </cell>
          <cell r="AE141" t="str">
            <v>274100503</v>
          </cell>
          <cell r="AF141" t="str">
            <v xml:space="preserve">                                                 
LANDING COLLAR, TYPE 1 "PT"STYLE, 5.500 IN. 23.00
LB/FT STL BOX X PIN, 5.556 IN. OD, 4.600 IN. ID, 
110 KSI MYS                                      </v>
          </cell>
          <cell r="AG141">
            <v>27410</v>
          </cell>
          <cell r="AH141">
            <v>35857</v>
          </cell>
          <cell r="AI141">
            <v>35857</v>
          </cell>
          <cell r="AJ141">
            <v>1</v>
          </cell>
          <cell r="AK141" t="str">
            <v>100703171</v>
          </cell>
          <cell r="AL141" t="str">
            <v xml:space="preserve">V SET SHOE, 5.500 IN. 23.00 LB/FT STL BOX, 5.530 
IN OD, 4.595 IN ID, 110 KSI MYS                  </v>
          </cell>
          <cell r="AM141">
            <v>10070</v>
          </cell>
          <cell r="AN141">
            <v>35857</v>
          </cell>
          <cell r="AO141">
            <v>35857</v>
          </cell>
        </row>
        <row r="142">
          <cell r="C142" t="str">
            <v/>
          </cell>
          <cell r="F142">
            <v>35852</v>
          </cell>
          <cell r="G142" t="str">
            <v>Gary Hoffpauir</v>
          </cell>
          <cell r="H142" t="str">
            <v>LB</v>
          </cell>
          <cell r="I142">
            <v>6413</v>
          </cell>
          <cell r="J142" t="str">
            <v>MOBIL</v>
          </cell>
          <cell r="K142" t="str">
            <v>MOTOR FREIGHT BY 3-10-98</v>
          </cell>
          <cell r="L142">
            <v>1</v>
          </cell>
          <cell r="M142" t="str">
            <v>296290116</v>
          </cell>
          <cell r="N142" t="str">
            <v xml:space="preserve">"ZXP" LINER PACKER WITH HOLD DOWN SLIPS W/RH     
PROFILE, 5.500 IN 17.00 LB/FT VAM BOX DOWN X 7.62
 IN 29.7-33.70 LB/FT, W/10 FT TYPE PBR EXT, 6.375
EXT OD, 5.750 EXT ID, 6.550 TOOL OD, 4.800 TOOL  </v>
          </cell>
          <cell r="O142">
            <v>29629</v>
          </cell>
          <cell r="P142">
            <v>35864</v>
          </cell>
          <cell r="Q142">
            <v>35864</v>
          </cell>
          <cell r="R142">
            <v>1</v>
          </cell>
          <cell r="S142" t="str">
            <v>292030688</v>
          </cell>
          <cell r="T142" t="str">
            <v xml:space="preserve">                                                  
LINER HANGER, HMC, 5.50 IN. 15.5 LB/FT X 7.625 IN.
29.7-33.7 LB/FT, VAM PIN X PIN, 6.500 IN. OD,     
4.855 IN. ID, 1030-1390 PSI SETTING PRESSURE, 140 </v>
          </cell>
          <cell r="U142">
            <v>29203</v>
          </cell>
          <cell r="V142">
            <v>35864</v>
          </cell>
          <cell r="W142">
            <v>35864</v>
          </cell>
          <cell r="X142">
            <v>1</v>
          </cell>
          <cell r="Y142" t="str">
            <v>299892013</v>
          </cell>
          <cell r="Z142" t="str">
            <v xml:space="preserve">BUSHING, BROWN TYPE CROSSOVER, 5.500 IN 17.00   
LB/FT &amp; HVR 5.50 IN. VAM BOX X 5.500 IN. 20.0   
LB/FT STL PIN, 6.060 IN. TOOL OD, 4.698 IN. TOOL
ID, 14.000 IN. LONG, 110 KSI MYS MYS.           </v>
          </cell>
          <cell r="AA142">
            <v>29989</v>
          </cell>
          <cell r="AB142">
            <v>35864</v>
          </cell>
          <cell r="AC142">
            <v>35864</v>
          </cell>
        </row>
        <row r="143">
          <cell r="C143" t="str">
            <v/>
          </cell>
          <cell r="F143">
            <v>35852</v>
          </cell>
          <cell r="G143" t="str">
            <v>H. MELVILLE</v>
          </cell>
          <cell r="H143" t="str">
            <v>LB</v>
          </cell>
          <cell r="I143">
            <v>6413</v>
          </cell>
          <cell r="J143" t="str">
            <v>Chevron - South Marsh Island 288 well #1 wellbore #2, OCSG 2316, 7" 32#  TIEBACK</v>
          </cell>
          <cell r="K143" t="str">
            <v>MOTOR FEIGHT BY 3/10/98</v>
          </cell>
          <cell r="L143">
            <v>1</v>
          </cell>
          <cell r="M143" t="str">
            <v>297500822</v>
          </cell>
          <cell r="N143" t="str">
            <v xml:space="preserve">SEAL ASSEMBLY, BROWN TYPE PBR WITH 3 SETS OF      
MOLYGLASS SEALS, WITH .188 IN. CS. SEALS, 7 IN.   
32.0 LB/FT STL BOX, 7.375 IN. SEAL OD, 8.250 IN.  
TOOL OD, 6.094 IN. TOOL ID, 10FT. EXT., WITH 2 FT.
LONG ROUND NOSE GUIDE, 110KSI MYS                 </v>
          </cell>
          <cell r="O143">
            <v>29750</v>
          </cell>
          <cell r="P143">
            <v>35864</v>
          </cell>
          <cell r="Q143">
            <v>35864</v>
          </cell>
        </row>
        <row r="144">
          <cell r="C144" t="str">
            <v/>
          </cell>
          <cell r="F144">
            <v>35853</v>
          </cell>
          <cell r="G144" t="str">
            <v>H. MELVILLE</v>
          </cell>
          <cell r="H144" t="str">
            <v>LB</v>
          </cell>
          <cell r="I144">
            <v>6413</v>
          </cell>
          <cell r="J144" t="str">
            <v>MURPHY EXPLORATION D.W. GUIDRY #1 KAPLAN</v>
          </cell>
          <cell r="K144" t="str">
            <v>PRIORTY BUS TONIGHT TO RECIEVE 2/28/98</v>
          </cell>
          <cell r="L144">
            <v>1</v>
          </cell>
          <cell r="M144" t="str">
            <v>093014204</v>
          </cell>
          <cell r="N144" t="str">
            <v xml:space="preserve">                           
 RING,SEAL RTNR SPS 05.470 </v>
          </cell>
          <cell r="O144">
            <v>27603</v>
          </cell>
          <cell r="P144">
            <v>35854</v>
          </cell>
          <cell r="Q144">
            <v>35854</v>
          </cell>
          <cell r="R144">
            <v>1</v>
          </cell>
          <cell r="S144" t="str">
            <v>093014701</v>
          </cell>
          <cell r="T144" t="str">
            <v xml:space="preserve">                                                 
1 FT CEMENTING PACKOFF 4. 000 W/2.87 SACM8 4140H </v>
          </cell>
          <cell r="U144">
            <v>27603</v>
          </cell>
          <cell r="V144">
            <v>35854</v>
          </cell>
          <cell r="W144">
            <v>35854</v>
          </cell>
        </row>
        <row r="145">
          <cell r="C145" t="str">
            <v/>
          </cell>
          <cell r="F145">
            <v>35853</v>
          </cell>
          <cell r="G145" t="str">
            <v>Oliver Rudesill</v>
          </cell>
          <cell r="H145" t="str">
            <v>LB</v>
          </cell>
          <cell r="I145">
            <v>6413</v>
          </cell>
          <cell r="J145" t="str">
            <v>Spirit Verm 14, S/L 3522, S/T #3, will ship 3/10/98 per D Wright</v>
          </cell>
          <cell r="L145">
            <v>1</v>
          </cell>
          <cell r="M145" t="str">
            <v>065893006</v>
          </cell>
          <cell r="N145" t="str">
            <v xml:space="preserve">488-07 BTM SUB 76-40 4.750 8 STUB ACME BOX
BMS-A103,A104                             </v>
          </cell>
          <cell r="O145" t="str">
            <v>488-07</v>
          </cell>
          <cell r="P145">
            <v>35862</v>
          </cell>
          <cell r="Q145">
            <v>35861</v>
          </cell>
          <cell r="R145">
            <v>1</v>
          </cell>
          <cell r="S145" t="str">
            <v>0243230-XX</v>
          </cell>
          <cell r="T145" t="str">
            <v xml:space="preserve"> 80-40 BOTTOM SUB 13 CR MATERIAL WITH 3 1/2 9.2# FOX K PIN DOWN; JUST LIKE 02432305B EXCEPT WITH 3 1/2 9.2# FOX K PIN DOWN</v>
          </cell>
          <cell r="U145">
            <v>41308</v>
          </cell>
          <cell r="V145">
            <v>35862</v>
          </cell>
          <cell r="W145">
            <v>35861</v>
          </cell>
          <cell r="X145">
            <v>1</v>
          </cell>
          <cell r="Y145" t="str">
            <v>450-03-XXXX</v>
          </cell>
          <cell r="Z145" t="str">
            <v>SIZE 80-40 G-22S LTSA WITH 3 1/2 9.2# FOX K WITH TWO 90 HARD BONDED SEALS ON TOP, THEN SPACER TUBE, THEN FOUR 90 HARD BONDED SEALS ON BOTTOM X 1/2 MULESHOE; 13 CR MATERIALS; LENGTH FROM LOCATING SHOULDER TO BOTTOM OF 1/2 MULSHOE IS 13'.</v>
          </cell>
          <cell r="AA145">
            <v>45003</v>
          </cell>
          <cell r="AB145">
            <v>35862</v>
          </cell>
          <cell r="AC145">
            <v>35861</v>
          </cell>
        </row>
        <row r="146">
          <cell r="C146" t="str">
            <v/>
          </cell>
          <cell r="F146">
            <v>35856</v>
          </cell>
          <cell r="G146" t="str">
            <v>H. MELVILLE</v>
          </cell>
          <cell r="H146" t="str">
            <v>LB</v>
          </cell>
          <cell r="I146">
            <v>6413</v>
          </cell>
          <cell r="J146" t="str">
            <v>Amoco Production Co. State Lease 42 West Hackberry #225  Need By 3/16/98</v>
          </cell>
          <cell r="L146">
            <v>1</v>
          </cell>
          <cell r="M146" t="str">
            <v>29507</v>
          </cell>
          <cell r="N146" t="str">
            <v xml:space="preserve"> 'S' LINER SETTING SLEEVE                           
 BODY F/S LSS, 4.50 IN. 16.9-18.80 HYD SLX BOX, 10 FT   
 4.625 ID EXT., TOOL OD 5.500 X 3.864 ID, USE 5.125 
 OD FLOAT NUT, 140 KSI MYS                          </v>
          </cell>
          <cell r="O146">
            <v>29507</v>
          </cell>
          <cell r="P146">
            <v>35870</v>
          </cell>
          <cell r="Q146">
            <v>35870</v>
          </cell>
          <cell r="R146">
            <v>1</v>
          </cell>
          <cell r="S146" t="str">
            <v>29203</v>
          </cell>
          <cell r="T146" t="str">
            <v xml:space="preserve">LINER HANGER, TYPE HYDRAULIC SET HMC, 4.500 IN. 18.80 LB/FT X 7.625 IN. 47.10 LB/FT, HYD SLX  
PIN X PIN, 6.000 IN. OD, 3.64 IN. ID, 140 KSI CYL., 125 KSI BODY, AFLAS SEALS WITH PEEK BACKUP, 5.60 CYL OD. </v>
          </cell>
          <cell r="U146">
            <v>29203</v>
          </cell>
          <cell r="V146">
            <v>35870</v>
          </cell>
          <cell r="W146">
            <v>35870</v>
          </cell>
          <cell r="X146">
            <v>1</v>
          </cell>
          <cell r="Y146" t="str">
            <v>26684</v>
          </cell>
          <cell r="Z146" t="str">
            <v>SLIMHOLE LANDING COLLAR SYSTEM, W/CERAMIC, TYPE I W/O PLUG LANDING INDICATOR, 4.500 IN. 18.80 LB/FT HYD SLX BOX X PIN, 4.5?? IN. OD, 1.640 IN. ID, 125 KSI MYS  WITH 2 VITON PUMP DOWN PLUGS COMM. 270200061</v>
          </cell>
          <cell r="AA146">
            <v>26684</v>
          </cell>
          <cell r="AB146">
            <v>35870</v>
          </cell>
          <cell r="AC146">
            <v>35870</v>
          </cell>
          <cell r="AD146">
            <v>1</v>
          </cell>
          <cell r="AE146" t="str">
            <v>266730112</v>
          </cell>
          <cell r="AF146" t="str">
            <v xml:space="preserve"> LANDING COLLAR, PT2, ONE PLUG METHOD, W/BAFFLE,  4.500 IN. 18.8 LB/FT SLX BOX X PIN, 4.615 IN. TOOL  OD, 3.560 IN TOOL ID, 2500 PSI SHEAR, F/ 1.812 OD  PDP, 125 KSI MYS                              </v>
          </cell>
          <cell r="AG146">
            <v>26673</v>
          </cell>
          <cell r="AH146">
            <v>35870</v>
          </cell>
          <cell r="AI146">
            <v>35869</v>
          </cell>
        </row>
        <row r="147">
          <cell r="C147" t="str">
            <v/>
          </cell>
        </row>
        <row r="148">
          <cell r="C148" t="str">
            <v/>
          </cell>
          <cell r="Z148" t="str">
            <v>W/ PLUG LANDING INDICATOR, 4.500 IN. 15.10 LB/FT</v>
          </cell>
        </row>
        <row r="149">
          <cell r="C149" t="str">
            <v/>
          </cell>
          <cell r="Z149" t="str">
            <v>NEW VAM BOX X PIN, 5.009 IN. OD, 1.640 IN. ID,</v>
          </cell>
        </row>
        <row r="150">
          <cell r="C150" t="str">
            <v/>
          </cell>
          <cell r="Z150" t="str">
            <v>1,500 PSI INDICATOR SHEAR, SHEAR SCREW, 1.250 ID</v>
          </cell>
        </row>
        <row r="151">
          <cell r="C151" t="str">
            <v/>
          </cell>
          <cell r="Z151" t="str">
            <v>THRU BALL SEAT, 3,500 PSI BALL SEAT SHEAR,</v>
          </cell>
        </row>
        <row r="152">
          <cell r="C152" t="str">
            <v/>
          </cell>
          <cell r="Z152" t="str">
            <v>COMPLETE W/ TWO 1.812 PUMP DOWN PLUG &amp; LATCH AND</v>
          </cell>
        </row>
        <row r="153">
          <cell r="C153" t="str">
            <v/>
          </cell>
          <cell r="Z153" t="str">
            <v>1.500 OD BALL, 125 KSI MYS</v>
          </cell>
        </row>
        <row r="154">
          <cell r="C154" t="str">
            <v/>
          </cell>
        </row>
        <row r="155">
          <cell r="C155" t="str">
            <v/>
          </cell>
        </row>
        <row r="156">
          <cell r="C156" t="str">
            <v/>
          </cell>
        </row>
        <row r="157">
          <cell r="C157" t="str">
            <v/>
          </cell>
        </row>
        <row r="158">
          <cell r="C158" t="str">
            <v/>
          </cell>
        </row>
        <row r="159">
          <cell r="C159" t="str">
            <v/>
          </cell>
        </row>
        <row r="160">
          <cell r="C160" t="str">
            <v/>
          </cell>
        </row>
        <row r="161">
          <cell r="C161" t="str">
            <v/>
          </cell>
        </row>
        <row r="162">
          <cell r="C162" t="str">
            <v/>
          </cell>
        </row>
        <row r="163">
          <cell r="C163" t="str">
            <v/>
          </cell>
        </row>
        <row r="164">
          <cell r="C164" t="str">
            <v/>
          </cell>
        </row>
        <row r="165">
          <cell r="C165" t="str">
            <v/>
          </cell>
        </row>
        <row r="166">
          <cell r="C166" t="str">
            <v/>
          </cell>
        </row>
        <row r="167">
          <cell r="C167" t="str">
            <v/>
          </cell>
        </row>
        <row r="168">
          <cell r="C168" t="str">
            <v/>
          </cell>
        </row>
        <row r="169">
          <cell r="C169" t="str">
            <v/>
          </cell>
        </row>
        <row r="170">
          <cell r="C170" t="str">
            <v/>
          </cell>
        </row>
        <row r="171">
          <cell r="C171" t="str">
            <v/>
          </cell>
        </row>
        <row r="172">
          <cell r="C172" t="str">
            <v/>
          </cell>
        </row>
        <row r="173">
          <cell r="C173" t="str">
            <v/>
          </cell>
        </row>
        <row r="174">
          <cell r="C174" t="str">
            <v/>
          </cell>
        </row>
        <row r="175">
          <cell r="C175" t="str">
            <v/>
          </cell>
        </row>
        <row r="176">
          <cell r="C176" t="str">
            <v/>
          </cell>
        </row>
        <row r="177">
          <cell r="C177" t="str">
            <v/>
          </cell>
        </row>
        <row r="178">
          <cell r="C178" t="str">
            <v/>
          </cell>
        </row>
        <row r="179">
          <cell r="C179" t="str">
            <v/>
          </cell>
        </row>
        <row r="180">
          <cell r="C180" t="str">
            <v/>
          </cell>
        </row>
        <row r="181">
          <cell r="C181" t="str">
            <v/>
          </cell>
        </row>
        <row r="182">
          <cell r="C182" t="str">
            <v/>
          </cell>
        </row>
        <row r="183">
          <cell r="C183" t="str">
            <v/>
          </cell>
        </row>
        <row r="184">
          <cell r="C184" t="str">
            <v/>
          </cell>
        </row>
        <row r="185">
          <cell r="C185" t="str">
            <v/>
          </cell>
        </row>
        <row r="186">
          <cell r="C186" t="str">
            <v/>
          </cell>
        </row>
        <row r="187">
          <cell r="C187" t="str">
            <v/>
          </cell>
        </row>
        <row r="188">
          <cell r="C188" t="str">
            <v/>
          </cell>
        </row>
        <row r="189">
          <cell r="C189" t="str">
            <v/>
          </cell>
        </row>
        <row r="190">
          <cell r="C190" t="str">
            <v/>
          </cell>
        </row>
        <row r="191">
          <cell r="C191" t="str">
            <v/>
          </cell>
        </row>
        <row r="192">
          <cell r="C192" t="str">
            <v/>
          </cell>
        </row>
        <row r="193">
          <cell r="C193" t="str">
            <v/>
          </cell>
        </row>
        <row r="194">
          <cell r="C194" t="str">
            <v/>
          </cell>
        </row>
        <row r="195">
          <cell r="C195" t="str">
            <v/>
          </cell>
        </row>
        <row r="196">
          <cell r="C196" t="str">
            <v/>
          </cell>
        </row>
        <row r="197">
          <cell r="C197" t="str">
            <v/>
          </cell>
        </row>
        <row r="198">
          <cell r="C198" t="str">
            <v/>
          </cell>
        </row>
        <row r="199">
          <cell r="C199" t="str">
            <v/>
          </cell>
        </row>
        <row r="200">
          <cell r="C200" t="str">
            <v/>
          </cell>
        </row>
        <row r="201">
          <cell r="C201" t="str">
            <v/>
          </cell>
        </row>
        <row r="202">
          <cell r="C202" t="str">
            <v/>
          </cell>
        </row>
        <row r="203">
          <cell r="C203" t="str">
            <v/>
          </cell>
        </row>
        <row r="204">
          <cell r="C204" t="str">
            <v/>
          </cell>
        </row>
        <row r="205">
          <cell r="C205" t="str">
            <v/>
          </cell>
        </row>
        <row r="206">
          <cell r="C206" t="str">
            <v/>
          </cell>
        </row>
        <row r="207">
          <cell r="C207" t="str">
            <v/>
          </cell>
        </row>
        <row r="208">
          <cell r="C208" t="str">
            <v/>
          </cell>
        </row>
        <row r="209">
          <cell r="C209" t="str">
            <v/>
          </cell>
        </row>
        <row r="210">
          <cell r="C210" t="str">
            <v/>
          </cell>
        </row>
        <row r="211">
          <cell r="C211" t="str">
            <v/>
          </cell>
        </row>
        <row r="212">
          <cell r="C212" t="str">
            <v/>
          </cell>
        </row>
        <row r="213">
          <cell r="C213" t="str">
            <v/>
          </cell>
        </row>
        <row r="214">
          <cell r="C214" t="str">
            <v/>
          </cell>
        </row>
        <row r="215">
          <cell r="C215" t="str">
            <v/>
          </cell>
        </row>
        <row r="216">
          <cell r="C216" t="str">
            <v/>
          </cell>
        </row>
        <row r="217">
          <cell r="C217" t="str">
            <v/>
          </cell>
        </row>
        <row r="218">
          <cell r="C218" t="str">
            <v/>
          </cell>
        </row>
        <row r="219">
          <cell r="C219" t="str">
            <v/>
          </cell>
        </row>
        <row r="220">
          <cell r="C220" t="str">
            <v/>
          </cell>
        </row>
        <row r="221">
          <cell r="C221" t="str">
            <v/>
          </cell>
        </row>
        <row r="222">
          <cell r="C222" t="str">
            <v/>
          </cell>
        </row>
        <row r="223">
          <cell r="C223" t="str">
            <v/>
          </cell>
        </row>
        <row r="224">
          <cell r="C224" t="str">
            <v/>
          </cell>
        </row>
        <row r="225">
          <cell r="C225" t="str">
            <v/>
          </cell>
        </row>
        <row r="226">
          <cell r="C226" t="str">
            <v/>
          </cell>
        </row>
        <row r="227">
          <cell r="C227" t="str">
            <v/>
          </cell>
        </row>
        <row r="228">
          <cell r="C228" t="str">
            <v/>
          </cell>
        </row>
        <row r="229">
          <cell r="C229" t="str">
            <v/>
          </cell>
        </row>
        <row r="230">
          <cell r="C230" t="str">
            <v/>
          </cell>
        </row>
        <row r="231">
          <cell r="C231" t="str">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PA BPR0058"/>
      <sheetName val="PA BPR0041"/>
      <sheetName val="PA BPR010"/>
      <sheetName val="PA BPR005"/>
      <sheetName val="PA BPR001"/>
      <sheetName val="BPR Form"/>
      <sheetName val="Product Lines"/>
      <sheetName val="Quotes"/>
      <sheetName val="Count Chart"/>
      <sheetName val="BPR LOG"/>
    </sheetNames>
    <sheetDataSet>
      <sheetData sheetId="0"/>
      <sheetData sheetId="1"/>
      <sheetData sheetId="2"/>
      <sheetData sheetId="3"/>
      <sheetData sheetId="4"/>
      <sheetData sheetId="5"/>
      <sheetData sheetId="6"/>
      <sheetData sheetId="7"/>
      <sheetData sheetId="8"/>
      <sheetData sheetId="9"/>
      <sheetData sheetId="10">
        <row r="1">
          <cell r="B1" t="str">
            <v>CAUSE DEPT</v>
          </cell>
          <cell r="D1" t="str">
            <v>Product Line Code</v>
          </cell>
          <cell r="E1" t="str">
            <v>Product Line</v>
          </cell>
          <cell r="G1" t="str">
            <v>SSI #</v>
          </cell>
          <cell r="I1" t="str">
            <v>ORIG. BY</v>
          </cell>
          <cell r="J1" t="str">
            <v>LOCATION</v>
          </cell>
          <cell r="L1" t="str">
            <v>PROD. #</v>
          </cell>
          <cell r="M1" t="str">
            <v>COMM #</v>
          </cell>
          <cell r="N1" t="str">
            <v>S/N</v>
          </cell>
          <cell r="O1" t="str">
            <v>PRODUCT DESCRIPTION</v>
          </cell>
          <cell r="Q1" t="str">
            <v>TM #</v>
          </cell>
          <cell r="R1" t="str">
            <v>OPER CO.</v>
          </cell>
          <cell r="S1" t="str">
            <v>CO. REP</v>
          </cell>
          <cell r="T1" t="str">
            <v>WELL NAME &amp; #</v>
          </cell>
          <cell r="X1" t="str">
            <v>CSG SIZE</v>
          </cell>
          <cell r="Y1" t="str">
            <v>CSG WT</v>
          </cell>
          <cell r="Z1" t="str">
            <v>LINER SIZE</v>
          </cell>
          <cell r="AA1" t="str">
            <v>LINER WT</v>
          </cell>
          <cell r="AB1" t="str">
            <v>CSG DEPTH</v>
          </cell>
          <cell r="AC1" t="str">
            <v>SETTING DEPTH</v>
          </cell>
          <cell r="AD1" t="str">
            <v>MUD WT</v>
          </cell>
          <cell r="AE1" t="str">
            <v>MUD COND</v>
          </cell>
          <cell r="AF1" t="str">
            <v>FLUID LEVEL</v>
          </cell>
          <cell r="AG1" t="str">
            <v>BHT (DEG F)</v>
          </cell>
          <cell r="AH1" t="str">
            <v>csg scraped? yes or no</v>
          </cell>
          <cell r="AI1" t="str">
            <v>RUN DATE</v>
          </cell>
          <cell r="AJ1" t="str">
            <v>PERFORMANCE / NONCONFORMANCE</v>
          </cell>
          <cell r="AK1" t="str">
            <v>PERFORMANCE / NONCONFORMANCE, CONT'D</v>
          </cell>
          <cell r="AL1" t="str">
            <v>PERFORMANCE / NONCONFORMANCE, CONT'D</v>
          </cell>
          <cell r="AM1" t="str">
            <v>PERFORMANCE / NONCONFORMANCE, CONT'D</v>
          </cell>
          <cell r="AN1" t="str">
            <v>PERFORMANCE / NONCONFORMANCE, CONT'D</v>
          </cell>
          <cell r="AO1" t="str">
            <v>PERFORMANCE / NONCONFORMANCE, CONT'D</v>
          </cell>
          <cell r="AP1" t="str">
            <v>Cost (Direct + Indirect)</v>
          </cell>
          <cell r="AQ1" t="str">
            <v>100% Discount / NC / 3Y</v>
          </cell>
          <cell r="AR1" t="str">
            <v>Credit $ to Cust</v>
          </cell>
          <cell r="AS1" t="str">
            <v>CAUSE CODE</v>
          </cell>
          <cell r="AT1" t="str">
            <v>Cause Category</v>
          </cell>
          <cell r="AU1" t="str">
            <v>CAUSE DESCRIPTION</v>
          </cell>
          <cell r="AV1" t="str">
            <v>CAUSE DESCRIPTION cont'd</v>
          </cell>
          <cell r="AW1" t="str">
            <v>CAUSE DESCRIPTION cont'd</v>
          </cell>
          <cell r="AX1" t="str">
            <v>Cause entered by</v>
          </cell>
          <cell r="AY1" t="str">
            <v>cause entry date</v>
          </cell>
          <cell r="AZ1" t="str">
            <v>CORRECTIVE ACTION</v>
          </cell>
          <cell r="BA1" t="str">
            <v>CORRECTIVE ACTION cont'd</v>
          </cell>
          <cell r="BB1" t="str">
            <v>CA BY</v>
          </cell>
          <cell r="BC1" t="str">
            <v>CA DATE</v>
          </cell>
          <cell r="BD1" t="str">
            <v>PREVENTIVE ACTION</v>
          </cell>
          <cell r="BF1" t="str">
            <v>PREVENTIVE ACTION cont'd</v>
          </cell>
          <cell r="BG1" t="str">
            <v>PA BY</v>
          </cell>
          <cell r="BH1" t="str">
            <v>PA DATE</v>
          </cell>
          <cell r="BI1" t="str">
            <v>App spec / AEG receipient</v>
          </cell>
          <cell r="BJ1" t="str">
            <v>QA recipient</v>
          </cell>
          <cell r="BK1" t="str">
            <v>BPR CLOSED BY</v>
          </cell>
          <cell r="BL1" t="str">
            <v>DATE CLOSED</v>
          </cell>
        </row>
        <row r="2">
          <cell r="B2" t="str">
            <v>MISC. / REGION ENGINEERING</v>
          </cell>
          <cell r="D2">
            <v>9</v>
          </cell>
          <cell r="E2" t="str">
            <v>Liner Hangers</v>
          </cell>
          <cell r="G2" t="str">
            <v>LB-015618-015619</v>
          </cell>
          <cell r="I2" t="str">
            <v>GARY HOFFPAUIR</v>
          </cell>
          <cell r="J2" t="str">
            <v>BROUSSARD</v>
          </cell>
          <cell r="L2" t="str">
            <v>266-78-0042</v>
          </cell>
          <cell r="O2" t="str">
            <v>SLIMHOLE LANDING COLLAR 4 1/2 5.1# SLX P-110</v>
          </cell>
          <cell r="R2" t="str">
            <v>AMOCO PROD CO</v>
          </cell>
          <cell r="S2" t="str">
            <v>BOB LAGRECA</v>
          </cell>
          <cell r="T2" t="str">
            <v>#1 S/T</v>
          </cell>
          <cell r="X2">
            <v>7</v>
          </cell>
          <cell r="Y2">
            <v>35</v>
          </cell>
          <cell r="Z2">
            <v>4.5</v>
          </cell>
          <cell r="AA2">
            <v>15.1</v>
          </cell>
          <cell r="AB2">
            <v>16344</v>
          </cell>
          <cell r="AC2">
            <v>15819</v>
          </cell>
          <cell r="AD2">
            <v>16.2</v>
          </cell>
          <cell r="AF2" t="str">
            <v>FULL</v>
          </cell>
          <cell r="AG2">
            <v>240</v>
          </cell>
          <cell r="AI2">
            <v>35253</v>
          </cell>
          <cell r="AJ2" t="str">
            <v xml:space="preserve">RAN A SLIMHOLE COLLAR W/ TWO WIPER PLUGS; DROPPED 1ST PLUG BEFORE CMT PUMPED 15 BBL CMT.  DROPPED 2ND PLUG, PUMPED DISPLACEMT, 14 BBL BEFORE LAST LUG WAS TO BUMP.  P WENT FROM 2 KSI TO 3.7 KSI.  CO MAN SAID MOST JOBS, WIPER PLUGS BUMPED EARLY, ON </v>
          </cell>
          <cell r="AK2" t="str">
            <v>DISPLACEMENT OF DP.  BLED DN TO 0, CHECKED FLOATS, POOH 8 ST, WOC.  DON'T KNOW IF 1ST PLUG HIT &amp; WOULD NOT SHIFT OR IF LAST PLUG BUMPED EARLY.</v>
          </cell>
          <cell r="AS2">
            <v>61</v>
          </cell>
          <cell r="AT2" t="str">
            <v>OTHER: TRAINING, ETC.</v>
          </cell>
          <cell r="AU2" t="str">
            <v>lack of training on (1) pressure required to shear during circulating + (2) lagniappe required to add to shear values of pins</v>
          </cell>
          <cell r="AX2" t="str">
            <v>K Trahan</v>
          </cell>
          <cell r="AY2">
            <v>35362</v>
          </cell>
          <cell r="AZ2" t="str">
            <v>found cmt 14 bbl high; on location, drilled out cement</v>
          </cell>
          <cell r="BB2" t="str">
            <v>K Trahan / R Prasad</v>
          </cell>
          <cell r="BC2">
            <v>35362</v>
          </cell>
          <cell r="BD2" t="str">
            <v>letter issued to liner hanger districts re shear pressure &amp; shear value lagniappe</v>
          </cell>
          <cell r="BG2" t="str">
            <v>K Trahan / R Prasad</v>
          </cell>
          <cell r="BH2">
            <v>35362</v>
          </cell>
          <cell r="BI2" t="str">
            <v>N/A</v>
          </cell>
          <cell r="BJ2" t="str">
            <v>cc: P Stone</v>
          </cell>
          <cell r="BK2" t="str">
            <v>R Prasad</v>
          </cell>
          <cell r="BL2">
            <v>35367</v>
          </cell>
        </row>
        <row r="3">
          <cell r="B3" t="str">
            <v>DISTRICT</v>
          </cell>
          <cell r="D3">
            <v>11</v>
          </cell>
          <cell r="E3" t="str">
            <v>SCSSV</v>
          </cell>
          <cell r="G3" t="str">
            <v>LB 014435</v>
          </cell>
          <cell r="I3" t="str">
            <v>RISHMA PRASAD</v>
          </cell>
          <cell r="J3" t="str">
            <v>LAFAYETTE</v>
          </cell>
          <cell r="L3" t="str">
            <v>824-83</v>
          </cell>
          <cell r="M3" t="str">
            <v>824-83-2310</v>
          </cell>
          <cell r="O3" t="str">
            <v>2 7/8 "TE-5" SCSSV-9CR W/ 2.31 "X" PROFILE</v>
          </cell>
          <cell r="R3" t="str">
            <v>ENRON OIL &amp; GAS</v>
          </cell>
          <cell r="S3" t="str">
            <v>JAMES VANDERLYNDON</v>
          </cell>
          <cell r="T3" t="str">
            <v>A-3</v>
          </cell>
          <cell r="X3">
            <v>7.625</v>
          </cell>
          <cell r="AB3" t="str">
            <v>7750 MD, 5561 TVD</v>
          </cell>
          <cell r="AC3">
            <v>357</v>
          </cell>
          <cell r="AD3">
            <v>9.5</v>
          </cell>
          <cell r="AE3" t="str">
            <v>CaCl</v>
          </cell>
          <cell r="AF3" t="str">
            <v>SURFACE</v>
          </cell>
          <cell r="AI3">
            <v>35307</v>
          </cell>
          <cell r="AJ3" t="str">
            <v>PER JOB LOG 125626: CO REP &amp; HES (IN CHARGE OF COMPLETION TALLY) DISCUSSED SET DEPTH OF SCSSV ON 8/30/96 TO BE 320'; WHEN HES COMPLETED DWG, IT WAS NOTICED THAT THE SCSSV WAS SET TOO SHALLOW (25' TOO CLOSE TO MUDLINE)</v>
          </cell>
          <cell r="AS3">
            <v>56</v>
          </cell>
          <cell r="AT3" t="str">
            <v>DISTRICT / SERVICE DIFFICULTY / CARELESSNESS</v>
          </cell>
          <cell r="AU3" t="str">
            <v>HUMAN ERROR-CALC OF SET DEPTH FROM MUDLINE</v>
          </cell>
          <cell r="AX3" t="str">
            <v>R Prasad</v>
          </cell>
          <cell r="AY3">
            <v>35310</v>
          </cell>
          <cell r="AZ3" t="str">
            <v>GC BOT SERVICE PERSONNEL RUNNING SCSSV'S NOTIFIED TO ENSURE SET DEPTH IS PER MMS REQT-100' BELOW MUDLIONE.  THIS CHECK WILL BE MADE EVEN WHEN ANOTHER SERVICE CO IS RESPONSIBLE FOR THE TALLY.</v>
          </cell>
          <cell r="BB3" t="str">
            <v>R PRASAD</v>
          </cell>
          <cell r="BC3">
            <v>35313</v>
          </cell>
          <cell r="BD3" t="str">
            <v>THE BOT SCSSV INSTALLATION REPORT NOW INCLUDES THE MUDLINE DEPTH AS AN INPUT BY THE BOT SERVICE REP; THIS ADD'L FILL-IN IS TAKEN TO PREVENT SUCH NONCONFORMANCE; FORM REV DONE REF TOMMY K &amp; STEVIE 9/9/96</v>
          </cell>
          <cell r="BG3" t="str">
            <v>R PRASAD</v>
          </cell>
          <cell r="BH3">
            <v>35317</v>
          </cell>
          <cell r="BI3" t="str">
            <v>D Aldridge</v>
          </cell>
          <cell r="BJ3" t="str">
            <v>D Ingvardsen</v>
          </cell>
          <cell r="BK3" t="str">
            <v>R PRASAD</v>
          </cell>
          <cell r="BL3">
            <v>35317</v>
          </cell>
        </row>
        <row r="4">
          <cell r="B4" t="str">
            <v>NAVIGATION PLANT</v>
          </cell>
          <cell r="D4">
            <v>14</v>
          </cell>
          <cell r="E4" t="str">
            <v>Flow Control</v>
          </cell>
          <cell r="I4" t="str">
            <v>RISHMA PRASAD</v>
          </cell>
          <cell r="J4" t="str">
            <v>LAFAYETTE</v>
          </cell>
          <cell r="O4" t="str">
            <v>3 1/2 HB-3 SHIFTING TOOL</v>
          </cell>
          <cell r="R4" t="str">
            <v>KERR MCGEE</v>
          </cell>
          <cell r="S4" t="str">
            <v>KEVIN BROUSSARD</v>
          </cell>
          <cell r="T4">
            <v>60</v>
          </cell>
          <cell r="X4" t="str">
            <v>TBG: 3/12</v>
          </cell>
          <cell r="Y4" t="str">
            <v>TBG: 9.3</v>
          </cell>
          <cell r="AB4" t="str">
            <v>EOT: 7802</v>
          </cell>
          <cell r="AC4" t="str">
            <v>SEE JOB LOG</v>
          </cell>
          <cell r="AI4">
            <v>35325</v>
          </cell>
          <cell r="AJ4" t="str">
            <v>TWO CMD'S WERE VERIFIED OPEN USING INVERTED HB-3.  TOP TWO CMD'S WERE SHIFTED CLOSED USING TOP HB-3.  WT CHG INDICATIONS WERE CLEAR TO VERIFY SLEEVE SHIFTS, EVEN IN THIS 80-85 DEG DEVIATION;  HIPP TRIPPER WAS INCLUDED IN BHA BUT ACTIVATED DURING SHIFTS.</v>
          </cell>
          <cell r="AS4">
            <v>34</v>
          </cell>
          <cell r="AT4" t="str">
            <v>NAVIG / MKTG: TECH UNIT, PROTOTYPE INTRO., ETC.</v>
          </cell>
          <cell r="AZ4" t="str">
            <v>HB-3 PERFORMED AS SPEC'ED IN TECH UNIT</v>
          </cell>
          <cell r="BB4" t="str">
            <v>R PRASAD</v>
          </cell>
          <cell r="BC4">
            <v>35326</v>
          </cell>
          <cell r="BD4" t="str">
            <v>N/A</v>
          </cell>
          <cell r="BG4" t="str">
            <v>R PRASAD</v>
          </cell>
          <cell r="BH4">
            <v>35326</v>
          </cell>
          <cell r="BL4">
            <v>35326</v>
          </cell>
        </row>
        <row r="5">
          <cell r="B5" t="str">
            <v>NAVIGATION PLANT</v>
          </cell>
          <cell r="D5">
            <v>7</v>
          </cell>
          <cell r="E5" t="str">
            <v>R &amp; S</v>
          </cell>
          <cell r="I5" t="str">
            <v>RISHMA PRASAD</v>
          </cell>
          <cell r="J5" t="str">
            <v>BROUSSARD</v>
          </cell>
          <cell r="M5" t="str">
            <v>01-35701-00</v>
          </cell>
          <cell r="O5" t="str">
            <v>PISTON ROD OF #20 E-4 WLPSA</v>
          </cell>
          <cell r="R5" t="str">
            <v>N/A</v>
          </cell>
          <cell r="S5" t="str">
            <v>N/A</v>
          </cell>
          <cell r="T5" t="str">
            <v>N/A</v>
          </cell>
          <cell r="X5" t="str">
            <v>N/A</v>
          </cell>
          <cell r="Y5" t="str">
            <v>N/A</v>
          </cell>
          <cell r="Z5" t="str">
            <v>N/A</v>
          </cell>
          <cell r="AA5" t="str">
            <v>N/A</v>
          </cell>
          <cell r="AB5" t="str">
            <v>N/A</v>
          </cell>
          <cell r="AC5" t="str">
            <v>N/A</v>
          </cell>
          <cell r="AD5" t="str">
            <v>N/A</v>
          </cell>
          <cell r="AE5" t="str">
            <v>N/A</v>
          </cell>
          <cell r="AF5" t="str">
            <v>N/A</v>
          </cell>
          <cell r="AG5" t="str">
            <v>N/A</v>
          </cell>
          <cell r="AI5" t="str">
            <v>N/A</v>
          </cell>
          <cell r="AJ5" t="str">
            <v>END OF PISTON ROD IS TOO LONG, AS REC'D IN BATCH QTY AT DIST, TO ALLOW PINNING OF PISTON TO PISTON ROD; WE'VE HAD TO SHAVE OFF THE END OF 4 PISTON RODS ABOUT 1/8", IN ORDER TO PIN THE PISTON TO IT.</v>
          </cell>
          <cell r="AS5">
            <v>33</v>
          </cell>
          <cell r="AT5" t="str">
            <v>NAVIG / ENGINEERING DESIGN, DOC., ETC.</v>
          </cell>
          <cell r="AU5" t="str">
            <v>Engineering dwg dim wrong per preventive action</v>
          </cell>
          <cell r="AX5" t="str">
            <v>D Ingvardsen / R Prasad</v>
          </cell>
          <cell r="AY5">
            <v>35366</v>
          </cell>
          <cell r="AZ5" t="str">
            <v>Cade District: we've machined down piston rods to facilitate assy of tool</v>
          </cell>
          <cell r="BB5" t="str">
            <v>R Prasad</v>
          </cell>
          <cell r="BC5">
            <v>35326</v>
          </cell>
          <cell r="BD5" t="str">
            <v>Per D Ingvardesn ltr &amp; verbal rec'd 10/28/96, engr has issued chg to correct this</v>
          </cell>
          <cell r="BG5" t="str">
            <v>D Ingvardsen</v>
          </cell>
          <cell r="BH5">
            <v>35366</v>
          </cell>
          <cell r="BI5" t="str">
            <v>J Knippa</v>
          </cell>
          <cell r="BJ5" t="str">
            <v>D Ingvardsen</v>
          </cell>
          <cell r="BK5" t="str">
            <v>awaiting firm by DI per verbal 10/28/96 root cause</v>
          </cell>
        </row>
        <row r="6">
          <cell r="B6" t="str">
            <v>SALES / ORDER ENTRY</v>
          </cell>
          <cell r="D6">
            <v>9</v>
          </cell>
          <cell r="E6" t="str">
            <v>Liner Hangers</v>
          </cell>
          <cell r="G6" t="str">
            <v>LB-014411</v>
          </cell>
          <cell r="I6" t="str">
            <v>ROB IRVING</v>
          </cell>
          <cell r="J6" t="str">
            <v>BROUSSARD</v>
          </cell>
          <cell r="L6">
            <v>26659</v>
          </cell>
          <cell r="M6" t="str">
            <v>266-59-</v>
          </cell>
          <cell r="O6" t="str">
            <v>7 5/8 INSERT LANDING COLLAR W/ BALL SEAT &amp; CATCHER</v>
          </cell>
          <cell r="R6" t="str">
            <v>GREY WOLF DRILLING CO</v>
          </cell>
          <cell r="S6" t="str">
            <v>LEWIS CASTILLE</v>
          </cell>
          <cell r="T6">
            <v>1</v>
          </cell>
          <cell r="X6">
            <v>9.625</v>
          </cell>
          <cell r="Y6">
            <v>53.5</v>
          </cell>
          <cell r="Z6">
            <v>7.625</v>
          </cell>
          <cell r="AA6">
            <v>39</v>
          </cell>
          <cell r="AB6">
            <v>11710</v>
          </cell>
          <cell r="AC6">
            <v>14506</v>
          </cell>
          <cell r="AD6">
            <v>17.7</v>
          </cell>
          <cell r="AE6" t="str">
            <v>CLEAN</v>
          </cell>
          <cell r="AF6" t="str">
            <v>FULL</v>
          </cell>
          <cell r="AG6">
            <v>185</v>
          </cell>
          <cell r="AI6">
            <v>35333</v>
          </cell>
          <cell r="AJ6" t="str">
            <v>NEVER SAW BALL SEAT IN LANDING COLLAR. TOLD CO REP WE COULD SET HANGER BY BUMPING PLUGS AFTER CMT JOB.  GREY WOLF ELECTED TO SET LINER ON BTM &amp; RELEASE SETTING TOOL BEFORE CMT JOB.  DROPPED TWO BALLS NO SEAT; PUMPED &amp; WAITED TWO HRS.</v>
          </cell>
          <cell r="AP6" t="str">
            <v>Could not set hanger; left it on bottom; possible bigger problem next time.</v>
          </cell>
          <cell r="AS6">
            <v>11</v>
          </cell>
          <cell r="AT6" t="str">
            <v>SALES  / PLANNING / SETTING UP JOB</v>
          </cell>
          <cell r="AU6" t="str">
            <v>possible wear of ball seat or junk on ball seat preventing proper seal when ball lands</v>
          </cell>
          <cell r="AX6" t="str">
            <v>K Trahan</v>
          </cell>
          <cell r="AY6">
            <v>35362</v>
          </cell>
          <cell r="AZ6" t="str">
            <v>on location, they set the liner on bottom &amp; got off of it since couldn't set hanger</v>
          </cell>
          <cell r="BB6" t="str">
            <v>K Trahan</v>
          </cell>
          <cell r="BC6">
            <v>35362</v>
          </cell>
          <cell r="BD6" t="str">
            <v>K Trahan is issuing a ltr to Sales &amp; liner districts re selling / ordering ball seats ceramic coated; ref small price difference; ltr issued 12/26/96.</v>
          </cell>
          <cell r="BG6" t="str">
            <v>K Trahan</v>
          </cell>
          <cell r="BH6" t="str">
            <v>10/24/96 12/26/96</v>
          </cell>
          <cell r="BI6" t="str">
            <v>cc: G Givens</v>
          </cell>
          <cell r="BJ6" t="str">
            <v>cc: P Stone</v>
          </cell>
          <cell r="BK6" t="str">
            <v>R Prasad</v>
          </cell>
          <cell r="BL6">
            <v>35425</v>
          </cell>
        </row>
        <row r="7">
          <cell r="B7" t="str">
            <v>EMMOTT RD PLANT</v>
          </cell>
          <cell r="D7">
            <v>9</v>
          </cell>
          <cell r="E7" t="str">
            <v>Liner Hangers</v>
          </cell>
          <cell r="I7" t="str">
            <v>JAMES SOLARI</v>
          </cell>
          <cell r="J7" t="str">
            <v>BROUSSARD</v>
          </cell>
          <cell r="R7" t="str">
            <v>AMOCO</v>
          </cell>
          <cell r="T7" t="str">
            <v>PARLANGE #5</v>
          </cell>
          <cell r="AJ7" t="str">
            <v>HOT JOB, BLANKED OUT IN HOUSTON, HOT SHOT TO BROUSSARD; HOT SHOT FROM BROUSSARD TO HYDRIL IN WESTWEGO.  HYDRIL REJECTED SPACE NIPPLE &amp; BALL CATCHER BUSHING BLANKING DIMENSIONS WERE WRONG</v>
          </cell>
          <cell r="AK7" t="str">
            <v>NEW EQUIPMENT HAD TO BE MANUFACTURED HOT SHOT TO BROUSSARD AND THEN TO HYDRIL IN WESTWEGO</v>
          </cell>
          <cell r="AS7">
            <v>73</v>
          </cell>
          <cell r="AT7" t="str">
            <v>EMMOTT / ENGINEERING DESIGN, DOC., ETC.</v>
          </cell>
          <cell r="AU7" t="str">
            <v>Engr error: engr print had incorrect blank out dimensions;</v>
          </cell>
          <cell r="AX7" t="str">
            <v>J Hnason, R Guillory</v>
          </cell>
          <cell r="AY7">
            <v>35348</v>
          </cell>
          <cell r="AZ7" t="str">
            <v xml:space="preserve"> this error has now been corrected; QA reviewed this w/ engr</v>
          </cell>
          <cell r="BB7" t="str">
            <v>John Hanson &amp; Ray Guillory</v>
          </cell>
          <cell r="BC7">
            <v>35348</v>
          </cell>
          <cell r="BD7" t="str">
            <v>QA reviewed this w/ engr</v>
          </cell>
          <cell r="BG7" t="str">
            <v>J Hanson &amp; R Guillory</v>
          </cell>
          <cell r="BH7">
            <v>35348</v>
          </cell>
          <cell r="BI7" t="str">
            <v>N/A</v>
          </cell>
          <cell r="BJ7" t="str">
            <v>R Guillory</v>
          </cell>
          <cell r="BK7" t="str">
            <v>R Prasad</v>
          </cell>
          <cell r="BL7">
            <v>35348</v>
          </cell>
        </row>
        <row r="8">
          <cell r="B8" t="str">
            <v>EMMOTT RD PLANT</v>
          </cell>
          <cell r="D8">
            <v>9</v>
          </cell>
          <cell r="E8" t="str">
            <v>Liner Hangers</v>
          </cell>
          <cell r="I8" t="str">
            <v>JAMES SOLARI</v>
          </cell>
          <cell r="J8" t="str">
            <v>BROUSSARD</v>
          </cell>
          <cell r="O8" t="str">
            <v>9 5/8 43.5# X 13 3/8 61-72# CPH PKR</v>
          </cell>
          <cell r="Q8" t="str">
            <v>RO 74715, 10/24/95</v>
          </cell>
          <cell r="AJ8" t="str">
            <v>ORDERED WITH RH PROFILE; HOUSTON SHIPPED WITH HR PROFILE</v>
          </cell>
          <cell r="AS8">
            <v>76</v>
          </cell>
          <cell r="AT8" t="str">
            <v>EMMOTT / SHIPPING</v>
          </cell>
          <cell r="AX8" t="str">
            <v>J Fraser, R Guillory</v>
          </cell>
          <cell r="BJ8" t="str">
            <v>R Guillory</v>
          </cell>
          <cell r="BK8" t="str">
            <v>should be closed</v>
          </cell>
          <cell r="BL8" t="str">
            <v>awaiting e-mail</v>
          </cell>
        </row>
        <row r="9">
          <cell r="B9" t="str">
            <v>EMMOTT RD PLANT</v>
          </cell>
          <cell r="D9">
            <v>13</v>
          </cell>
          <cell r="E9" t="str">
            <v>Inflatables</v>
          </cell>
          <cell r="I9" t="str">
            <v>BENNY VINCENT</v>
          </cell>
          <cell r="J9" t="str">
            <v>BROUSSARD</v>
          </cell>
          <cell r="L9" t="str">
            <v>304-83-0151</v>
          </cell>
          <cell r="M9" t="str">
            <v>304-83-0151</v>
          </cell>
          <cell r="AJ9" t="str">
            <v>SALE PRICE OF SOME CTC LIFT SUBS &amp; BTM SUBS IN PRICE BOOK LESS THAN COST</v>
          </cell>
          <cell r="AS9">
            <v>72</v>
          </cell>
          <cell r="AT9" t="str">
            <v>EMMOTT / PRICING, ETC.</v>
          </cell>
          <cell r="AU9" t="str">
            <v>error in price book</v>
          </cell>
          <cell r="AX9" t="str">
            <v>R Prasad</v>
          </cell>
          <cell r="AY9">
            <v>35362</v>
          </cell>
          <cell r="AZ9" t="str">
            <v>Price book page H-15 &amp; BOT pricing dated 4/24/96 page 1/1 needs to be updated immediately &amp; faxed to districts sales asap</v>
          </cell>
          <cell r="BB9" t="str">
            <v>T Jiral</v>
          </cell>
          <cell r="BC9" t="str">
            <v>rec'd 10/25/96</v>
          </cell>
          <cell r="BD9" t="str">
            <v>(being addressed w/ new price book effective 1/1/97; pricing issues should be directed to Ben Kendall; price book has been changed / corrected for 1997</v>
          </cell>
          <cell r="BG9" t="str">
            <v>Mark Kendall; B Vincent</v>
          </cell>
          <cell r="BH9" t="str">
            <v>9/30/96; 1/15/97</v>
          </cell>
          <cell r="BI9" t="str">
            <v>N/A</v>
          </cell>
          <cell r="BJ9" t="str">
            <v>R Guillory</v>
          </cell>
          <cell r="BK9" t="str">
            <v>R Prasad</v>
          </cell>
          <cell r="BL9">
            <v>35445</v>
          </cell>
        </row>
        <row r="10">
          <cell r="B10" t="str">
            <v>NAVIGATION PLANT</v>
          </cell>
          <cell r="D10">
            <v>3</v>
          </cell>
          <cell r="E10" t="str">
            <v>Packers</v>
          </cell>
          <cell r="G10" t="str">
            <v>Not run yet</v>
          </cell>
          <cell r="I10" t="str">
            <v>RISHMA PRASAD</v>
          </cell>
          <cell r="J10" t="str">
            <v>BROUSSARD</v>
          </cell>
          <cell r="L10" t="str">
            <v>413-50</v>
          </cell>
          <cell r="M10" t="str">
            <v>413-50-8503</v>
          </cell>
          <cell r="O10" t="str">
            <v>Assy 85-40 Super "FB-3" RPP w/ inconel body &amp; 90 HD Aflas element</v>
          </cell>
          <cell r="R10" t="str">
            <v>Amoco</v>
          </cell>
          <cell r="X10">
            <v>7.625</v>
          </cell>
          <cell r="Y10" t="str">
            <v>ID 6.125</v>
          </cell>
          <cell r="AI10" t="str">
            <v>not run yet</v>
          </cell>
          <cell r="AJ10" t="str">
            <v>When trying to make up the std Model "B" Wireline adapter kit in the whse, we found that the adapter bushing would not mu to the adapter sleeve due to lack of clearance btw adapter bushing &amp; adapter nut.  Also, size 40 left hand sq thds on this pkr is</v>
          </cell>
          <cell r="AK10" t="str">
            <v>preventing us from using std 32 setting accessories.  Ref tech unit AB-0008, index 410-10: "The mechanics of the setting procedure, using the Model "B" WL adapter kit, Prod # 437-09. . .is the same as that when running a Baker Model "F-1". . ."</v>
          </cell>
          <cell r="AS10">
            <v>33</v>
          </cell>
          <cell r="AT10" t="str">
            <v>NAVIG / ENGINEERING DESIGN, DOC., ETC.</v>
          </cell>
          <cell r="AU10" t="str">
            <v>(1) the support ring sleeve 060307700 of the pkr is too short to mu to the std adapter sleev 01576400.  Thus, dist must make special adapter sleeve to accomodate.  (2) The left hand sq thds of pkr are not sized for a std 32 adapter kit.</v>
          </cell>
          <cell r="AZ10" t="str">
            <v xml:space="preserve">This packer, along with the next 2 in mfg at Navig, will be set using the modified special adapter sleeve mfg locally due to time constraints (1st pkr loading 10/10/96). </v>
          </cell>
          <cell r="BB10" t="str">
            <v>R Prasad</v>
          </cell>
          <cell r="BC10">
            <v>35347</v>
          </cell>
          <cell r="BD10" t="str">
            <v xml:space="preserve"> Next ones f/ Amoco to have corrected (1) support ring sleeve &amp; (2) left hd sq thds of the body.  Design modifications are being layed out as of 10/9/96 per B Russert / C Johnson, Navig</v>
          </cell>
          <cell r="BF10" t="str">
            <v>to be modified to a smaller linear for a 4.000 bore at the top.  The packer can then maintain the pressure rating of a 3.270 bore &amp; accept standard adapter kits.</v>
          </cell>
          <cell r="BG10" t="str">
            <v>R Prasad, BR, CJ; D Rothers</v>
          </cell>
          <cell r="BH10" t="str">
            <v>10/9/96, 12/26/96</v>
          </cell>
          <cell r="BI10" t="str">
            <v>B Russert</v>
          </cell>
          <cell r="BJ10" t="str">
            <v>D Ingvardsen</v>
          </cell>
          <cell r="BK10" t="str">
            <v>R Prasad</v>
          </cell>
          <cell r="BL10">
            <v>35425</v>
          </cell>
        </row>
        <row r="11">
          <cell r="B11" t="str">
            <v>SALES / ORDER ENTRY</v>
          </cell>
          <cell r="D11">
            <v>9</v>
          </cell>
          <cell r="E11" t="str">
            <v>Liner Hangers</v>
          </cell>
          <cell r="G11" t="str">
            <v>LB-015760</v>
          </cell>
          <cell r="I11" t="str">
            <v>Alan White</v>
          </cell>
          <cell r="J11" t="str">
            <v>Broussard</v>
          </cell>
          <cell r="O11" t="str">
            <v>7 5/8" 39# x 9 5/8" 53.5# CMC Hanger</v>
          </cell>
          <cell r="R11" t="str">
            <v>Cliffs Turnkey / Texaco</v>
          </cell>
          <cell r="S11" t="str">
            <v>Robert Audoin</v>
          </cell>
          <cell r="T11">
            <v>7</v>
          </cell>
          <cell r="X11">
            <v>9.625</v>
          </cell>
          <cell r="Y11">
            <v>53.5</v>
          </cell>
          <cell r="Z11">
            <v>7.625</v>
          </cell>
          <cell r="AA11">
            <v>39</v>
          </cell>
          <cell r="AB11">
            <v>12598</v>
          </cell>
          <cell r="AC11">
            <v>14700</v>
          </cell>
          <cell r="AD11">
            <v>16.399999999999999</v>
          </cell>
          <cell r="AE11" t="str">
            <v>Good</v>
          </cell>
          <cell r="AG11">
            <v>210</v>
          </cell>
          <cell r="AI11">
            <v>35346</v>
          </cell>
          <cell r="AJ11" t="str">
            <v>After tagging btm @ 14700', PU 5' to set CMC.  Put 4 Rds Right hand torque in pipe while driller was catching torque w/ tongs, co rep told him to pu.  Torque was not on tongs yet and pipe backlashed to left.  Because of a champ pkr in hole, Halliburton</v>
          </cell>
          <cell r="AK11" t="str">
            <v>tool hand released pkr.  Went back to btm (tagged 14700'). PU 5' to 14695' again.  Put 4 rds RH torque &amp; caught torque w/ tongs.  Attempt to set CMC - didn't set.  Repeated proc working pipe up &amp; dn while attempting to hang liner; RH torque must've</v>
          </cell>
          <cell r="AL11" t="str">
            <v>transferred to set tool, instead of CMC because we lost liner wt. Co rep told driller to PU, before I could stop them, pack-off was pulled from sleeve.  Because of this we couldn't cmt.  POOH when OOH, set tool all there except for liner wiper plug.</v>
          </cell>
          <cell r="AP11" t="str">
            <v>Could not set hgr or squeeze so had to run back in to tack &amp; squeeze; possible bigger problem next time.</v>
          </cell>
          <cell r="AS11">
            <v>11</v>
          </cell>
          <cell r="AT11" t="str">
            <v>SALES  / PLANNING / SETTING UP JOB</v>
          </cell>
          <cell r="AU11" t="str">
            <v>Customer wanted mechanical set hanger / expense.  We knew of risk going into the job involving a left hand set squeeze tool (champ) &amp; the RH set RH release CMC.</v>
          </cell>
          <cell r="AV11" t="str">
            <v>also, 40 degree well deviation - was this info known during job set-up?</v>
          </cell>
          <cell r="AX11" t="str">
            <v>K Trahan / R Prasad</v>
          </cell>
          <cell r="AY11">
            <v>35362</v>
          </cell>
          <cell r="AZ11" t="str">
            <v>Pulled out without cementing; ran in hole to tack &amp; squeeze as a separate trip</v>
          </cell>
          <cell r="BB11" t="str">
            <v>R Prasad / K Trahan</v>
          </cell>
          <cell r="BC11">
            <v>35362</v>
          </cell>
          <cell r="BD11" t="str">
            <v>K Trahan is issuing a ltr to Sales &amp; liner districts re setting up jobs (1) in 40 degree deviation w/ mechanical vs hydraulic hanger + (2) Risk re RH set / RH release hanger + LH set squeeze tool; ltr issued 12/26/96</v>
          </cell>
          <cell r="BG11" t="str">
            <v>K Trahan</v>
          </cell>
          <cell r="BH11" t="str">
            <v>10/24/96 12/26/96</v>
          </cell>
          <cell r="BI11" t="str">
            <v>cc: G Givens</v>
          </cell>
          <cell r="BJ11" t="str">
            <v>cc: P Stone</v>
          </cell>
          <cell r="BK11" t="str">
            <v>R Prasad</v>
          </cell>
          <cell r="BL11">
            <v>35425</v>
          </cell>
        </row>
        <row r="12">
          <cell r="B12" t="str">
            <v>NAVIGATION PLANT</v>
          </cell>
          <cell r="D12">
            <v>3</v>
          </cell>
          <cell r="E12" t="str">
            <v>Packers</v>
          </cell>
          <cell r="G12" t="str">
            <v>Not run yet</v>
          </cell>
          <cell r="I12" t="str">
            <v>Rishma Prasad</v>
          </cell>
          <cell r="J12" t="str">
            <v>Broussard</v>
          </cell>
          <cell r="L12" t="str">
            <v>413-50-8503</v>
          </cell>
          <cell r="M12" t="str">
            <v>413-50-8503 body</v>
          </cell>
          <cell r="O12" t="str">
            <v>Body f/ Assy 85-40 Super FB-3 RPP w/ inconel body &amp; 90 HD Aflas elemt</v>
          </cell>
          <cell r="R12" t="str">
            <v>Amoco</v>
          </cell>
          <cell r="X12">
            <v>7.625</v>
          </cell>
          <cell r="Y12" t="str">
            <v>6.125 ID</v>
          </cell>
          <cell r="AI12" t="str">
            <v>Not run yet</v>
          </cell>
          <cell r="AJ12" t="str">
            <v xml:space="preserve">Pkr body bore is measured as 3.336"; engr dwg for this body speicifes ID of 3.270" to 3.280". (we found this nonconformance when our test tool would not seal in the pkr bore while trying to test pur pkr assy, seal bore crush rings, new vam conns, etc.; </v>
          </cell>
          <cell r="AK12" t="str">
            <v>As a result, we've had to redesign &amp; remachine the test tool o-ring grooves in order to seal  in the body</v>
          </cell>
          <cell r="AP12" t="str">
            <v>Cost of investig, design &amp; cutting of new oring grooves in test tol - approx 2 hrs total</v>
          </cell>
          <cell r="AS12">
            <v>35</v>
          </cell>
          <cell r="AT12" t="str">
            <v>NAVIG / MFG, ASSY, &amp;/OR TESTING</v>
          </cell>
          <cell r="AU12" t="str">
            <v>Incorrect instruction sheet in routing thru mfg; it called f/ 2.70 to 3.330 per ltr &amp; verbal 10/28/96</v>
          </cell>
          <cell r="AX12" t="str">
            <v>D Ingvardsen / R Prasad</v>
          </cell>
          <cell r="AY12">
            <v>35366</v>
          </cell>
          <cell r="AZ12" t="str">
            <v>(1) Navig (BR) has confirmed the 15 ksi rating is maintained w/ this larger ID. (2) we are asking Quick Turn to ensure the next two pkrs in mfg now (along w/ rest for Amoco) have correct ID; cc: P Miser, B Russert, C Johnson</v>
          </cell>
          <cell r="BB12" t="str">
            <v>R Prasad</v>
          </cell>
          <cell r="BC12">
            <v>35349</v>
          </cell>
          <cell r="BD12" t="str">
            <v>Mfg instruciton sheet @ Navig has been updated to 3.27/3.28 &amp; work order in shop has been corrected.</v>
          </cell>
          <cell r="BG12" t="str">
            <v>D Ingvardsen</v>
          </cell>
          <cell r="BH12">
            <v>35366</v>
          </cell>
          <cell r="BI12" t="str">
            <v>B Russert</v>
          </cell>
          <cell r="BJ12" t="str">
            <v>D Ingvardsen</v>
          </cell>
          <cell r="BK12" t="str">
            <v>R Prasad</v>
          </cell>
          <cell r="BL12">
            <v>35366</v>
          </cell>
        </row>
        <row r="13">
          <cell r="B13" t="str">
            <v>NAVIGATION PLANT</v>
          </cell>
          <cell r="D13">
            <v>7</v>
          </cell>
          <cell r="E13" t="str">
            <v>R &amp; S</v>
          </cell>
          <cell r="I13" t="str">
            <v>Rishma Prasad</v>
          </cell>
          <cell r="J13" t="str">
            <v>Broussard</v>
          </cell>
          <cell r="L13" t="str">
            <v>47 J Retrievamatic</v>
          </cell>
          <cell r="M13" t="str">
            <v>07-56139-00</v>
          </cell>
          <cell r="N13" t="str">
            <v>763-660</v>
          </cell>
          <cell r="O13" t="str">
            <v>Slip Ring Tie for 47 service adaptable pkr</v>
          </cell>
          <cell r="AJ13" t="str">
            <v>Upon redress of retrievamatics, we're finding cracks, in slip ring tie, extending radially outwards from both threaded drill thrus f/ 5/16-18 set screw.  This has been a trend in the last 6 mo's; at least 4 slip ring ties have been replaced.</v>
          </cell>
          <cell r="AK13" t="str">
            <v>These J Retrievamatics have been exposed to GP / Perf applications f/ use by Sand Control.</v>
          </cell>
          <cell r="AP13" t="str">
            <v>Replacemt of slip ring ties is occurring more frequently within the last 6 mo's</v>
          </cell>
          <cell r="AS13">
            <v>33</v>
          </cell>
          <cell r="AT13" t="str">
            <v>NAVIG / ENGINEERING DESIGN, DOC., ETC.</v>
          </cell>
          <cell r="AZ13" t="str">
            <v xml:space="preserve">Please review design / matl spec &amp; matl test certs where aplic, along w/ any previously filed similar nonconformance (i.e., from other dists) to verify compliance in mfg, etc.  Currently, we are replacing thiese slip ring ties as needed to maintain </v>
          </cell>
          <cell r="BA13" t="str">
            <v>feasibility of assy of the tool at redress.  Any ideas f/ a permanent fix / prevention?  12/12/96: slip tie ring has been shipped to D Ingvardsen's attn per request</v>
          </cell>
          <cell r="BB13" t="str">
            <v>R Prasad</v>
          </cell>
          <cell r="BC13">
            <v>35349</v>
          </cell>
        </row>
        <row r="14">
          <cell r="B14" t="str">
            <v>NAVIGATION PLANT</v>
          </cell>
          <cell r="D14">
            <v>3</v>
          </cell>
          <cell r="E14" t="str">
            <v>Packers</v>
          </cell>
          <cell r="G14" t="str">
            <v>LB-014649</v>
          </cell>
          <cell r="I14" t="str">
            <v>Cody Flemming</v>
          </cell>
          <cell r="J14" t="str">
            <v>Broussard</v>
          </cell>
          <cell r="L14" t="str">
            <v>646-92</v>
          </cell>
          <cell r="M14" t="str">
            <v>646-92-48QA</v>
          </cell>
          <cell r="O14" t="str">
            <v>Size 591-32 Model "WSB" pkr</v>
          </cell>
          <cell r="R14" t="str">
            <v>Shell Offshore, Inc.</v>
          </cell>
          <cell r="S14" t="str">
            <v>Bobby Price</v>
          </cell>
          <cell r="T14" t="str">
            <v>JA-8 S/T 2</v>
          </cell>
          <cell r="X14">
            <v>9.625</v>
          </cell>
          <cell r="Y14">
            <v>53.5</v>
          </cell>
          <cell r="Z14">
            <v>7</v>
          </cell>
          <cell r="AA14">
            <v>29</v>
          </cell>
          <cell r="AB14">
            <v>14565</v>
          </cell>
          <cell r="AC14">
            <v>14310</v>
          </cell>
          <cell r="AD14">
            <v>8.6</v>
          </cell>
          <cell r="AE14" t="str">
            <v>FSW</v>
          </cell>
          <cell r="AF14" t="str">
            <v>Full</v>
          </cell>
          <cell r="AG14">
            <v>235</v>
          </cell>
          <cell r="AI14">
            <v>35348</v>
          </cell>
          <cell r="AJ14" t="str">
            <v xml:space="preserve">0800 PU pkr &amp; gun assy, rih to set depth 14310' on B2 set tool; 1730 RIH &amp; correlate guns on depth-POOH w/ e-line; 2030 RU to set pkr-break circ; 2040 Dropped 1 7/16 ball; 2150 Pressured tbg 2 ksi, applied 35000# up, set dn 35000# on pkr, bled tbg </v>
          </cell>
          <cell r="AK14" t="str">
            <v xml:space="preserve">pressure, released B2 set tool, POOH 10 jts DP; 2245 RU &amp; shifted unloader w/ 2450 psi; POOH DP; On 10/15/96 called engr; D Henderson &amp; M Ritter said that 2 ksi applied to tbg to set pkr should be sufficient to energize the P.E. system (get back-up rings </v>
          </cell>
          <cell r="AL14" t="str">
            <v>out)</v>
          </cell>
          <cell r="AS14">
            <v>34</v>
          </cell>
          <cell r="AT14" t="str">
            <v>NAVIG / MKTG: TECH UNIT, PROTOTYPE INTRO., ETC.</v>
          </cell>
          <cell r="AU14" t="str">
            <v>Corect setting force is not listed in tech unit issued (draft #3, issued Sept 1996); this tech unit does not specify that full setting load must be applied using pressure only, vs combo of pressure &amp; upstrain / slack-off.  This tech unit indicates that</v>
          </cell>
          <cell r="AV14" t="str">
            <v>running of this pkr should be done as is done for a Model "D". This is all we had to go by, allowing combo, pressure + upstrain to set.  Correct set force + means to get there (tbg pressure only) needs to be in tech unit.  Also, need pkr dwg in tech unit;</v>
          </cell>
          <cell r="AW14" t="str">
            <v>it has part #s but no dwg</v>
          </cell>
          <cell r="AZ14" t="str">
            <v>Set up next job w/ 4 cyinder B2 (3300 psi) + B unloader pinned w/ 6 steel pins = 4360 psi)</v>
          </cell>
          <cell r="BB14" t="str">
            <v>C Flemming / R Prasad</v>
          </cell>
          <cell r="BD14" t="str">
            <v>per M Smith, next tech unit will include this info; awaiting completion of tech unit</v>
          </cell>
          <cell r="BG14" t="str">
            <v>R Prasad</v>
          </cell>
          <cell r="BH14">
            <v>35412</v>
          </cell>
          <cell r="BI14" t="str">
            <v>M Smith</v>
          </cell>
          <cell r="BJ14" t="str">
            <v>D Ingvardsen</v>
          </cell>
          <cell r="BK14" t="str">
            <v>R Prasad</v>
          </cell>
          <cell r="BL14">
            <v>35412</v>
          </cell>
        </row>
        <row r="15">
          <cell r="B15" t="str">
            <v>NAVIGATION PLANT</v>
          </cell>
          <cell r="D15">
            <v>3</v>
          </cell>
          <cell r="E15" t="str">
            <v>Packers</v>
          </cell>
          <cell r="G15" t="str">
            <v>LB-014649</v>
          </cell>
          <cell r="I15" t="str">
            <v>Cody Flemming</v>
          </cell>
          <cell r="J15" t="str">
            <v>Broussard</v>
          </cell>
          <cell r="L15" t="str">
            <v>646-92</v>
          </cell>
          <cell r="M15" t="str">
            <v>646-92-48QA</v>
          </cell>
          <cell r="O15" t="str">
            <v>Size 591-32 Model "WSB" pkr</v>
          </cell>
          <cell r="R15" t="str">
            <v>Shell Offshore, Inc.</v>
          </cell>
          <cell r="S15" t="str">
            <v>Bobby Price</v>
          </cell>
          <cell r="T15" t="str">
            <v>JA-8 S/T 2</v>
          </cell>
          <cell r="X15">
            <v>9.625</v>
          </cell>
          <cell r="Y15">
            <v>53.5</v>
          </cell>
          <cell r="Z15">
            <v>7</v>
          </cell>
          <cell r="AA15">
            <v>29</v>
          </cell>
          <cell r="AB15">
            <v>14565</v>
          </cell>
          <cell r="AC15">
            <v>13300</v>
          </cell>
          <cell r="AD15">
            <v>8.6</v>
          </cell>
          <cell r="AE15" t="str">
            <v>FSW</v>
          </cell>
          <cell r="AF15" t="str">
            <v>Full</v>
          </cell>
          <cell r="AG15">
            <v>235</v>
          </cell>
          <cell r="AI15">
            <v>35349</v>
          </cell>
          <cell r="AJ15" t="str">
            <v>1200 mu pkr on e-line set tool; 1315 RIH pkr assy; 1545 Having trouble correlating because of malfunctioning CCL; POOH; 1800 re-run pkr assy on e-line; 1955 set pkr at 13300; POOH e-line</v>
          </cell>
          <cell r="AS15">
            <v>34</v>
          </cell>
          <cell r="AT15" t="str">
            <v>NAVIG / MKTG: TECH UNIT, PROTOTYPE INTRO., ETC.</v>
          </cell>
          <cell r="AU15" t="str">
            <v>Attn engr: how much wt can we puch thru tight spots, i.e., liner tops, etc.?  How much can we set down? will it start presetting?</v>
          </cell>
          <cell r="AV15" t="str">
            <v>lack of info / clarity in tech unit</v>
          </cell>
          <cell r="AX15" t="str">
            <v>R Prasad</v>
          </cell>
          <cell r="AY15">
            <v>35412</v>
          </cell>
          <cell r="AZ15" t="str">
            <v>new tech unit has been issued</v>
          </cell>
          <cell r="BB15" t="str">
            <v>R Prasad</v>
          </cell>
          <cell r="BC15">
            <v>35412</v>
          </cell>
          <cell r="BD15" t="str">
            <v>same</v>
          </cell>
          <cell r="BG15" t="str">
            <v>R Prasad</v>
          </cell>
          <cell r="BH15">
            <v>35412</v>
          </cell>
          <cell r="BI15" t="str">
            <v>M Smith</v>
          </cell>
          <cell r="BJ15" t="str">
            <v>D Ingvardsen</v>
          </cell>
          <cell r="BK15" t="str">
            <v>R Prasad</v>
          </cell>
          <cell r="BL15">
            <v>35412</v>
          </cell>
        </row>
        <row r="16">
          <cell r="B16" t="str">
            <v>NAVIGATION PLANT</v>
          </cell>
          <cell r="D16">
            <v>3</v>
          </cell>
          <cell r="E16" t="str">
            <v>Packers</v>
          </cell>
          <cell r="G16" t="str">
            <v>LB-014649</v>
          </cell>
          <cell r="I16" t="str">
            <v>Cody Flemming</v>
          </cell>
          <cell r="J16" t="str">
            <v>Broussard</v>
          </cell>
          <cell r="L16" t="str">
            <v>646-92</v>
          </cell>
          <cell r="M16" t="str">
            <v>646-92-48QA</v>
          </cell>
          <cell r="O16" t="str">
            <v>Size 591-32 Model "WSB" pkr</v>
          </cell>
          <cell r="R16" t="str">
            <v>Shell Offshore, Inc.</v>
          </cell>
          <cell r="S16" t="str">
            <v>Bobby Price</v>
          </cell>
          <cell r="T16" t="str">
            <v>JA-8 S/T 2</v>
          </cell>
          <cell r="X16">
            <v>9.625</v>
          </cell>
          <cell r="Y16">
            <v>53.5</v>
          </cell>
          <cell r="Z16">
            <v>7</v>
          </cell>
          <cell r="AA16">
            <v>29</v>
          </cell>
          <cell r="AB16">
            <v>14565</v>
          </cell>
          <cell r="AC16">
            <v>12650</v>
          </cell>
          <cell r="AD16">
            <v>8.6</v>
          </cell>
          <cell r="AE16" t="str">
            <v>FSW</v>
          </cell>
          <cell r="AF16" t="str">
            <v>Full</v>
          </cell>
          <cell r="AG16">
            <v>235</v>
          </cell>
          <cell r="AI16">
            <v>35349</v>
          </cell>
          <cell r="AJ16" t="str">
            <v>2200 RIH pkr assy on e-line; 2330 set pkr at 12650'; POOH e-line; 10/12/96 0430 start in well w/ completion tbg; 10/14/96 0800 land snap latch seal ssy w/ 8 klb dn; test annulus 1000 psi; test is good</v>
          </cell>
          <cell r="AP16" t="str">
            <v>N/A</v>
          </cell>
          <cell r="AS16">
            <v>34</v>
          </cell>
          <cell r="AT16" t="str">
            <v>NAVIG / MKTG: TECH UNIT, PROTOTYPE INTRO., ETC.</v>
          </cell>
          <cell r="AU16" t="str">
            <v>N/A</v>
          </cell>
          <cell r="AV16" t="str">
            <v>N/A</v>
          </cell>
          <cell r="AW16" t="str">
            <v>N/A</v>
          </cell>
          <cell r="AX16" t="str">
            <v>N/A</v>
          </cell>
          <cell r="AY16" t="str">
            <v>N/A</v>
          </cell>
          <cell r="AZ16" t="str">
            <v>N/A</v>
          </cell>
          <cell r="BA16" t="str">
            <v>N/A</v>
          </cell>
          <cell r="BB16" t="str">
            <v>N/A</v>
          </cell>
          <cell r="BC16" t="str">
            <v>N/A</v>
          </cell>
          <cell r="BD16" t="str">
            <v>N/A</v>
          </cell>
          <cell r="BG16" t="str">
            <v>N/A</v>
          </cell>
          <cell r="BH16" t="str">
            <v>N/A</v>
          </cell>
          <cell r="BI16" t="str">
            <v>M Smith</v>
          </cell>
          <cell r="BJ16" t="str">
            <v>D Ingvardsen</v>
          </cell>
          <cell r="BK16" t="str">
            <v>R Prasad</v>
          </cell>
          <cell r="BL16">
            <v>35350</v>
          </cell>
        </row>
        <row r="17">
          <cell r="B17" t="str">
            <v>EMMOTT RD PLANT</v>
          </cell>
          <cell r="D17">
            <v>10</v>
          </cell>
          <cell r="E17" t="str">
            <v>Thru-tubing comp's</v>
          </cell>
          <cell r="I17" t="str">
            <v>Ken Rudd</v>
          </cell>
          <cell r="J17" t="str">
            <v>Broussard</v>
          </cell>
          <cell r="L17" t="str">
            <v>340-01</v>
          </cell>
          <cell r="M17" t="str">
            <v>04-62943-03</v>
          </cell>
          <cell r="N17" t="str">
            <v>comm # 04-61778-03</v>
          </cell>
          <cell r="O17" t="str">
            <v>3 3/8" double anchor dual seal and 3 3/8" double anchor</v>
          </cell>
          <cell r="AJ17" t="str">
            <v>These two elements are almost the same.  Which is the best one?  Standard cost on 04-62943-03 $1427.00 &amp; std cost on 04-61778-03 $1397.00.</v>
          </cell>
          <cell r="AS17">
            <v>72</v>
          </cell>
          <cell r="AT17" t="str">
            <v>EMMOTT / PRICING, ETC.</v>
          </cell>
          <cell r="AU17" t="str">
            <v>Request cause explanation from Emmott.</v>
          </cell>
          <cell r="AZ17" t="str">
            <v>Incorporate the best features of both elements &amp; make one - recommended by K Rudd 10/21/96.  Per M Plante response dtd 1/8/97, have responded to this bpr by phone w/ K Rudd; the dual seal would be best to stock as this is recommended for large expansions.</v>
          </cell>
          <cell r="BA17" t="str">
            <v>District requests explanation of benefits of the 04-61778-03 (versus  04-62943-03) to determine the reason that both elements are available.  Request from Emmott a spec of both elements &amp; recommended application, I.e., in a tech unit.</v>
          </cell>
          <cell r="BB17" t="str">
            <v>M Plante, R Prasad</v>
          </cell>
          <cell r="BC17" t="str">
            <v>1/8/97; 1/15/97</v>
          </cell>
          <cell r="BI17" t="str">
            <v>cc: M Plante</v>
          </cell>
          <cell r="BJ17" t="str">
            <v>cc: M Weichman; P Stone</v>
          </cell>
        </row>
        <row r="18">
          <cell r="B18" t="str">
            <v>EMMOTT RD PLANT</v>
          </cell>
          <cell r="D18">
            <v>6</v>
          </cell>
          <cell r="E18" t="str">
            <v>Fishing-special (whipstock, thru-tbg, etc.)</v>
          </cell>
          <cell r="G18">
            <v>229071</v>
          </cell>
          <cell r="I18" t="str">
            <v>Richard Wyman</v>
          </cell>
          <cell r="J18" t="str">
            <v>Houma</v>
          </cell>
          <cell r="L18">
            <v>151096004</v>
          </cell>
          <cell r="M18">
            <v>151096004</v>
          </cell>
          <cell r="O18" t="str">
            <v>7" 29# Window Master Whipstock Upper Ext.</v>
          </cell>
          <cell r="R18" t="str">
            <v>Chevron</v>
          </cell>
          <cell r="S18" t="str">
            <v>Byron Sketcher</v>
          </cell>
          <cell r="T18">
            <v>109</v>
          </cell>
          <cell r="X18">
            <v>7</v>
          </cell>
          <cell r="Y18">
            <v>29</v>
          </cell>
          <cell r="AB18">
            <v>13000</v>
          </cell>
          <cell r="AC18">
            <v>11068</v>
          </cell>
          <cell r="AD18">
            <v>12.2</v>
          </cell>
          <cell r="AE18" t="str">
            <v>Good</v>
          </cell>
          <cell r="AF18" t="str">
            <v>Full</v>
          </cell>
          <cell r="AG18">
            <v>185</v>
          </cell>
          <cell r="AH18" t="str">
            <v>yes</v>
          </cell>
          <cell r="AI18">
            <v>35321</v>
          </cell>
          <cell r="AJ18" t="str">
            <v>Pick up window master system &amp; attempt to GIH.  Tools were dragging from surface to 150'.  POOH &amp; inspect tools.  Laid down whipstock and ran mills to 300' w/ no problem.  Pick up two 6" OD mills and Trip in hole to 11068', 6" tools did not habe any drag</v>
          </cell>
          <cell r="AK18" t="str">
            <v>from surface to TD.  While TIH w/ 6" mills the shop was shipping a conventional system to rig.  When the conventional system was run, there was no problem.</v>
          </cell>
          <cell r="AS18">
            <v>73</v>
          </cell>
          <cell r="AT18" t="str">
            <v>EMMOTT / ENGINEERING DESIGN, DOC., ETC.</v>
          </cell>
          <cell r="AU18" t="str">
            <v xml:space="preserve">When the tools were returned to the shop tehy were gauged again &amp; found to be a problem with the whipstock ext.; the thickness form the back of the whipstock to front of carrying lug was 3/32" too thick; this problem was found in Houstonbeofre and no </v>
          </cell>
          <cell r="AV18" t="str">
            <v xml:space="preserve">field bulletin was sent out. </v>
          </cell>
          <cell r="AX18" t="str">
            <v>Richard Wyman / J Sonnier</v>
          </cell>
          <cell r="AY18">
            <v>35352</v>
          </cell>
          <cell r="AZ18" t="str">
            <v>The shop now has a set of prints and is using a ring gauge (drift size) not a Tri nipple (casing ID size).</v>
          </cell>
          <cell r="BB18" t="str">
            <v>Richard Wyman / J Sonnier</v>
          </cell>
          <cell r="BC18">
            <v>35352</v>
          </cell>
        </row>
        <row r="19">
          <cell r="B19" t="str">
            <v>NAVIGATION PLANT</v>
          </cell>
          <cell r="D19">
            <v>7</v>
          </cell>
          <cell r="E19" t="str">
            <v>R &amp; S</v>
          </cell>
          <cell r="G19" t="str">
            <v>N/A</v>
          </cell>
          <cell r="I19" t="str">
            <v>R Prasad</v>
          </cell>
          <cell r="J19" t="str">
            <v>Broussard</v>
          </cell>
          <cell r="L19" t="str">
            <v>437-02</v>
          </cell>
          <cell r="M19" t="str">
            <v>02-07395-00</v>
          </cell>
          <cell r="O19" t="str">
            <v>Piston Rod f/ Size 10 Model "E-4" WLPSA</v>
          </cell>
          <cell r="R19" t="str">
            <v>N/A</v>
          </cell>
          <cell r="S19" t="str">
            <v>N/A</v>
          </cell>
          <cell r="T19" t="str">
            <v>N/A</v>
          </cell>
          <cell r="X19" t="str">
            <v>N/A</v>
          </cell>
          <cell r="Y19" t="str">
            <v>N/A</v>
          </cell>
          <cell r="Z19" t="str">
            <v>N/A</v>
          </cell>
          <cell r="AA19" t="str">
            <v>N/A</v>
          </cell>
          <cell r="AB19" t="str">
            <v>N/A</v>
          </cell>
          <cell r="AC19" t="str">
            <v>N/A</v>
          </cell>
          <cell r="AD19" t="str">
            <v>N/A</v>
          </cell>
          <cell r="AE19" t="str">
            <v>N/A</v>
          </cell>
          <cell r="AF19" t="str">
            <v>N/A</v>
          </cell>
          <cell r="AG19" t="str">
            <v>N/A</v>
          </cell>
          <cell r="AH19" t="str">
            <v>N/A</v>
          </cell>
          <cell r="AI19" t="str">
            <v>N/A</v>
          </cell>
          <cell r="AJ19" t="str">
            <v>The coating of these chrome plated rods is wearing / peeling off, starting from bottom up.  During redress, we've noticed a polished surface (approx 1" thk) longitudinally along OD of connecting piston probably resulting from this coating, once removed</v>
          </cell>
          <cell r="AK19" t="str">
            <v>from the rod, being trapped between the piston OD and cylinder ID; potential end result: tool malfunction due to restricted stroking of this piston rod.</v>
          </cell>
          <cell r="AP19" t="str">
            <v>frequent / premature junk-out of piston rod, potential tool malfunction if not prevented</v>
          </cell>
          <cell r="AS19">
            <v>33</v>
          </cell>
          <cell r="AT19" t="str">
            <v>NAVIG / ENGINEERING DESIGN, DOC., ETC.</v>
          </cell>
          <cell r="AZ19" t="str">
            <v>At the district, we are junking out nonconforming piston rods &amp; we're not ordering further chrome plated rods due to this potential problem &amp; resulting cost.</v>
          </cell>
          <cell r="BA19" t="str">
            <v>Please review design / matl spec &amp; matl test certs where applic, along w/ any previously filed similar nonconformance (i.e., from other dists) to verify compliance in mfg, etc.</v>
          </cell>
          <cell r="BB19" t="str">
            <v>D Wade / R Prasad</v>
          </cell>
          <cell r="BC19">
            <v>35368</v>
          </cell>
          <cell r="BD19" t="str">
            <v>Per D Ingvardsen e-mail, piston rod should have been obsoleted &amp; replaced w/ one which has QPQ coating on it, but engr missed it &amp; is looking into it.</v>
          </cell>
          <cell r="BF19" t="str">
            <v>01-51580-00, which has QPQ added to it.  These parts are fully interchangeable &amp; existing stock may be used until depleted.</v>
          </cell>
          <cell r="BG19" t="str">
            <v>D Ingvardsen; D Rothers</v>
          </cell>
          <cell r="BH19" t="str">
            <v>10/31/96; 12/26/96</v>
          </cell>
          <cell r="BI19" t="str">
            <v>J Knippa</v>
          </cell>
          <cell r="BJ19" t="str">
            <v>D Ingvardsen</v>
          </cell>
          <cell r="BK19" t="str">
            <v>R Prasad</v>
          </cell>
          <cell r="BL19">
            <v>35425</v>
          </cell>
        </row>
        <row r="20">
          <cell r="B20" t="str">
            <v>NAVIGATION PLANT</v>
          </cell>
          <cell r="D20">
            <v>7</v>
          </cell>
          <cell r="E20" t="str">
            <v>R &amp; S</v>
          </cell>
          <cell r="G20" t="str">
            <v>N/A</v>
          </cell>
          <cell r="I20" t="str">
            <v>R Prasad</v>
          </cell>
          <cell r="J20" t="str">
            <v>Broussard</v>
          </cell>
          <cell r="L20" t="str">
            <v>437-02</v>
          </cell>
          <cell r="M20" t="str">
            <v>02-07396-00</v>
          </cell>
          <cell r="O20" t="str">
            <v>Piston Rod f/ Size 20 Model "E-4" WLPSA</v>
          </cell>
          <cell r="R20" t="str">
            <v>N/A</v>
          </cell>
          <cell r="S20" t="str">
            <v>N/A</v>
          </cell>
          <cell r="T20" t="str">
            <v>N/A</v>
          </cell>
          <cell r="X20" t="str">
            <v>N/A</v>
          </cell>
          <cell r="Y20" t="str">
            <v>N/A</v>
          </cell>
          <cell r="Z20" t="str">
            <v>N/A</v>
          </cell>
          <cell r="AA20" t="str">
            <v>N/A</v>
          </cell>
          <cell r="AB20" t="str">
            <v>N/A</v>
          </cell>
          <cell r="AC20" t="str">
            <v>N/A</v>
          </cell>
          <cell r="AD20" t="str">
            <v>N/A</v>
          </cell>
          <cell r="AE20" t="str">
            <v>N/A</v>
          </cell>
          <cell r="AF20" t="str">
            <v>N/A</v>
          </cell>
          <cell r="AG20" t="str">
            <v>N/A</v>
          </cell>
          <cell r="AH20" t="str">
            <v>N/A</v>
          </cell>
          <cell r="AI20" t="str">
            <v>N/A</v>
          </cell>
          <cell r="AJ20" t="str">
            <v>Chrome plated surface of these rods is showing pitting scattered OD along length of rod, mostly on bottom half.  Measurements indicate up to 1/8" OD pits.</v>
          </cell>
          <cell r="AP20" t="str">
            <v>frequent / premature junk-out of piston rod</v>
          </cell>
          <cell r="AS20">
            <v>33</v>
          </cell>
          <cell r="AT20" t="str">
            <v>NAVIG / ENGINEERING DESIGN, DOC., ETC.</v>
          </cell>
          <cell r="AZ20" t="str">
            <v>At the district, we are junking out excessively pitted chrome plated rods &amp; we're not ordering further ones due to cost of redress / junkout.</v>
          </cell>
          <cell r="BA20" t="str">
            <v>Please review design / matl spec &amp; matl test certs where applic, along w/ any previously filed similar nonconformance (i.e., from other dists) to verify compliance in mfg, etc.</v>
          </cell>
          <cell r="BB20" t="str">
            <v>D Wade / R Prasad</v>
          </cell>
          <cell r="BC20">
            <v>35368</v>
          </cell>
          <cell r="BD20" t="str">
            <v>Per D Ingvardsen e-mail, piston rod 020739600 has been obsoleted &amp; replaced w/ 013470100 which has QPQ coating on it; field stock is to be used until stock is depleted.</v>
          </cell>
          <cell r="BG20" t="str">
            <v>D Ingvardsen</v>
          </cell>
          <cell r="BH20">
            <v>35369</v>
          </cell>
          <cell r="BI20" t="str">
            <v>J Knippa</v>
          </cell>
          <cell r="BJ20" t="str">
            <v>D Ingvardsen</v>
          </cell>
          <cell r="BK20" t="str">
            <v>R Prasad</v>
          </cell>
          <cell r="BL20">
            <v>35369</v>
          </cell>
        </row>
        <row r="21">
          <cell r="B21">
            <v>0</v>
          </cell>
          <cell r="D21">
            <v>10</v>
          </cell>
          <cell r="E21" t="str">
            <v>Thru-tubing comp's</v>
          </cell>
          <cell r="G21" t="str">
            <v>LB-241224</v>
          </cell>
          <cell r="I21" t="str">
            <v>ken rudd</v>
          </cell>
          <cell r="J21" t="str">
            <v>Broussard</v>
          </cell>
          <cell r="L21" t="str">
            <v>437-14</v>
          </cell>
          <cell r="M21" t="str">
            <v>437-14-1801</v>
          </cell>
          <cell r="N21">
            <v>44</v>
          </cell>
          <cell r="O21" t="str">
            <v>1.81" ewst</v>
          </cell>
          <cell r="R21" t="str">
            <v>chevron</v>
          </cell>
          <cell r="S21" t="str">
            <v>chuck picket</v>
          </cell>
          <cell r="T21" t="str">
            <v>a-4</v>
          </cell>
          <cell r="X21" t="str">
            <v>7"</v>
          </cell>
          <cell r="Y21">
            <v>29</v>
          </cell>
          <cell r="Z21" t="str">
            <v>n/a</v>
          </cell>
          <cell r="AA21" t="str">
            <v>n/a</v>
          </cell>
          <cell r="AB21" t="str">
            <v>n/a</v>
          </cell>
          <cell r="AC21">
            <v>9917</v>
          </cell>
          <cell r="AD21">
            <v>12.5</v>
          </cell>
          <cell r="AE21" t="str">
            <v>sw 2% kcl</v>
          </cell>
          <cell r="AF21" t="str">
            <v>full</v>
          </cell>
          <cell r="AG21">
            <v>190</v>
          </cell>
          <cell r="AH21" t="str">
            <v>no</v>
          </cell>
          <cell r="AI21">
            <v>35310</v>
          </cell>
          <cell r="AJ21" t="str">
            <v>1.18" ewst was used to set a 2.13" tt pbp when redressing ewst one magnet was found loose in field hsg. this did not effect the job. this tool had 12 runs on it since 10-94. we ask that the field hsg. be repair</v>
          </cell>
          <cell r="AK21" t="str">
            <v xml:space="preserve">if possible. research if this is a bad batch of glue. </v>
          </cell>
          <cell r="AT21">
            <v>0</v>
          </cell>
          <cell r="BJ21" t="str">
            <v>R Guillory</v>
          </cell>
        </row>
        <row r="22">
          <cell r="B22" t="str">
            <v>BROKEN ARROW PLANT</v>
          </cell>
          <cell r="D22">
            <v>12</v>
          </cell>
          <cell r="E22" t="str">
            <v>SSS</v>
          </cell>
          <cell r="I22" t="str">
            <v>R Prasad</v>
          </cell>
          <cell r="J22" t="str">
            <v>Broussard</v>
          </cell>
          <cell r="L22" t="str">
            <v>08-08250-00-02L</v>
          </cell>
          <cell r="M22" t="str">
            <v>08-08250-00-02L</v>
          </cell>
          <cell r="N22" t="str">
            <v>Lot 156730-1B</v>
          </cell>
          <cell r="O22" t="str">
            <v>Bonnet Ring - special for 4 1/16, 15M Cameron JS</v>
          </cell>
          <cell r="R22" t="str">
            <v>Exxon / Cameron</v>
          </cell>
          <cell r="S22" t="str">
            <v>Patrick LeLeaux</v>
          </cell>
          <cell r="X22" t="str">
            <v>N/A</v>
          </cell>
          <cell r="Y22" t="str">
            <v>N/A</v>
          </cell>
          <cell r="Z22" t="str">
            <v>N/A</v>
          </cell>
          <cell r="AA22" t="str">
            <v>N/A</v>
          </cell>
          <cell r="AB22" t="str">
            <v>N/A</v>
          </cell>
          <cell r="AC22" t="str">
            <v>N/A</v>
          </cell>
          <cell r="AD22" t="str">
            <v>N/A</v>
          </cell>
          <cell r="AE22" t="str">
            <v>N/A</v>
          </cell>
          <cell r="AF22" t="str">
            <v>N/A</v>
          </cell>
          <cell r="AG22" t="str">
            <v>N/A</v>
          </cell>
          <cell r="AH22" t="str">
            <v>N/A</v>
          </cell>
          <cell r="AI22" t="str">
            <v>adapt trial 10/30/96</v>
          </cell>
          <cell r="AJ22" t="str">
            <v>Proper drift was not achieved due to nonconforming drill thru locations on bonnet ring (0.245" too close to top face of bonnet ring).  We tried adapting w/ 0 spacer rings &amp; still won't drift.</v>
          </cell>
          <cell r="AP22" t="str">
            <v>two days cause investigation @ Cameron Ville Platte w/ Cameron Engrs &amp; BOT Reg Engr</v>
          </cell>
          <cell r="AS22">
            <v>85</v>
          </cell>
          <cell r="AT22" t="str">
            <v>B.A. / MFG, ASSY, &amp;/OR TESTING</v>
          </cell>
          <cell r="AU22" t="str">
            <v>Drill thrus mis-located on bonnet ring due to error in machine program in Broken Arrow.</v>
          </cell>
          <cell r="AV22" t="str">
            <v>Per Tony Phillips / BA BPR distribution memo, machine program was programmed for 1.240 liner groove location instead of 1.500 bolt hole location.</v>
          </cell>
          <cell r="AX22" t="str">
            <v>R Prasad / J Broussard / Gary Davis memo</v>
          </cell>
          <cell r="AY22">
            <v>35381</v>
          </cell>
          <cell r="AZ22" t="str">
            <v>Broken Arrow is manufacturing a new bonnet ring tonite, for shipment by midnight to arrive by morning of 11/2/96 @ Cameron Ville Platte.  BA has corrected the machine program to manufacture re-make a bonnet ring in compliance with the dwg.  Per BA, Exxon</v>
          </cell>
          <cell r="BA22" t="str">
            <v>rep has waived 3rd  party insp of nondestructive testing &amp; of hardness test, in order to meet delivery requirement (due @ Cameron 11/2/96).  Broken Arrown to complete Preventive Action below to prevent recurrence of root cause: error in BA machine program</v>
          </cell>
          <cell r="BB22" t="str">
            <v>R Prasad / J Broussard / Shane Hickey / Walt Chapman (BA)</v>
          </cell>
          <cell r="BC22">
            <v>35370</v>
          </cell>
          <cell r="BD22" t="str">
            <v>Broken Arrow machine program has been corrected &amp; engr dwg has been revised for clarity as added prevention.  (what about other bonnet rings already adapted?)</v>
          </cell>
          <cell r="BG22" t="str">
            <v>Gary Davis / R Prasad</v>
          </cell>
          <cell r="BH22">
            <v>35381</v>
          </cell>
          <cell r="BI22" t="str">
            <v>R Early</v>
          </cell>
          <cell r="BJ22" t="str">
            <v>David Ott</v>
          </cell>
          <cell r="BK22" t="str">
            <v>R Prasad</v>
          </cell>
          <cell r="BL22">
            <v>35403</v>
          </cell>
        </row>
        <row r="23">
          <cell r="B23" t="str">
            <v>BROKEN ARROW PLANT</v>
          </cell>
          <cell r="D23">
            <v>12</v>
          </cell>
          <cell r="E23" t="str">
            <v>SSS</v>
          </cell>
          <cell r="I23" t="str">
            <v>R Prasad</v>
          </cell>
          <cell r="J23" t="str">
            <v>Broussard</v>
          </cell>
          <cell r="L23" t="str">
            <v>WUNW22505</v>
          </cell>
          <cell r="M23" t="str">
            <v>WUNW22505</v>
          </cell>
          <cell r="N23" t="str">
            <v>Lot B37387B</v>
          </cell>
          <cell r="O23" t="str">
            <v>Wear bearings f/ Bonnet Ring 08-08250-00-02L - special for 4 1/16, 15M Cameron JS</v>
          </cell>
          <cell r="R23" t="str">
            <v>Exxon / Cameron</v>
          </cell>
          <cell r="S23" t="str">
            <v>Patrick LeLeaux</v>
          </cell>
          <cell r="X23" t="str">
            <v>N/A</v>
          </cell>
          <cell r="Y23" t="str">
            <v>N/A</v>
          </cell>
          <cell r="Z23" t="str">
            <v>N/A</v>
          </cell>
          <cell r="AA23" t="str">
            <v>N/A</v>
          </cell>
          <cell r="AB23" t="str">
            <v>N/A</v>
          </cell>
          <cell r="AC23" t="str">
            <v>N/A</v>
          </cell>
          <cell r="AD23" t="str">
            <v>N/A</v>
          </cell>
          <cell r="AE23" t="str">
            <v>N/A</v>
          </cell>
          <cell r="AF23" t="str">
            <v>N/A</v>
          </cell>
          <cell r="AG23" t="str">
            <v>N/A</v>
          </cell>
          <cell r="AH23" t="str">
            <v>N/A</v>
          </cell>
          <cell r="AI23" t="str">
            <v>adapt trial 10/29/96</v>
          </cell>
          <cell r="AJ23" t="str">
            <v>Broken Arrow did not ship correct wear bearings for adaptation @ Cameron on 10/29/96.</v>
          </cell>
          <cell r="AP23" t="str">
            <v>one day waiting on wear bearings</v>
          </cell>
          <cell r="AS23">
            <v>85</v>
          </cell>
          <cell r="AT23" t="str">
            <v>B.A. / MFG, ASSY, &amp;/OR TESTING</v>
          </cell>
          <cell r="AU23" t="str">
            <v>Broken Arrow shipping dept shipped the wrong size wear bearings.</v>
          </cell>
          <cell r="AV23" t="str">
            <v>This was due to a mistake in the BOM; on 2/15/96, a BOM # was entered incorrectly as two BOMs were being entered simultaneously by Mike Lyons, Borken Arrow.  Ref BPR distrib memo BPR0022.doc from BA 11/11/96.</v>
          </cell>
          <cell r="AX23" t="str">
            <v>R Prasad / J Broussard / F Rogers</v>
          </cell>
          <cell r="AY23">
            <v>35380</v>
          </cell>
          <cell r="AZ23" t="str">
            <v>Broken Arrow has shipped correct wear bearings - next day for adaption @ Cameron Ville Platte</v>
          </cell>
          <cell r="BA23" t="str">
            <v>Broken Arrow to complete Preventive Action section below to prevent recurrence of this mis-shipment.</v>
          </cell>
          <cell r="BB23" t="str">
            <v>J Broussard</v>
          </cell>
          <cell r="BC23">
            <v>35370</v>
          </cell>
          <cell r="BD23" t="str">
            <v>Broken Arrow has implemented a procedure for another Material Planner to double check the BOMs; ref BA BPR distribution memo rec'd 11/11/96.</v>
          </cell>
          <cell r="BG23" t="str">
            <v>Gary Davis / Mike Lyons, BA</v>
          </cell>
          <cell r="BH23">
            <v>35380</v>
          </cell>
          <cell r="BI23" t="str">
            <v>R Early</v>
          </cell>
          <cell r="BJ23" t="str">
            <v>David Ott</v>
          </cell>
          <cell r="BK23" t="str">
            <v>R Prasad</v>
          </cell>
          <cell r="BL23">
            <v>35380</v>
          </cell>
        </row>
        <row r="24">
          <cell r="B24" t="str">
            <v>EMMOTT RD PLANT</v>
          </cell>
          <cell r="D24">
            <v>9</v>
          </cell>
          <cell r="E24" t="str">
            <v>Liner Hangers</v>
          </cell>
          <cell r="G24" t="str">
            <v>LB 016715</v>
          </cell>
          <cell r="I24" t="str">
            <v>Gary Hoffpauir</v>
          </cell>
          <cell r="J24" t="str">
            <v>Broussard</v>
          </cell>
          <cell r="L24" t="str">
            <v>274-10</v>
          </cell>
          <cell r="M24" t="str">
            <v>274-10-0054</v>
          </cell>
          <cell r="N24" t="str">
            <v>N/A</v>
          </cell>
          <cell r="O24" t="str">
            <v>Type 1 Landing Collar</v>
          </cell>
          <cell r="R24" t="str">
            <v>Unocal</v>
          </cell>
          <cell r="S24" t="str">
            <v>Pat Angers</v>
          </cell>
          <cell r="T24">
            <v>44</v>
          </cell>
          <cell r="X24">
            <v>7</v>
          </cell>
          <cell r="Y24">
            <v>26</v>
          </cell>
          <cell r="Z24">
            <v>3.5</v>
          </cell>
          <cell r="AA24">
            <v>9.3000000000000007</v>
          </cell>
          <cell r="AB24">
            <v>4001</v>
          </cell>
          <cell r="AC24">
            <v>3896</v>
          </cell>
          <cell r="AD24">
            <v>9.5</v>
          </cell>
          <cell r="AG24">
            <v>270</v>
          </cell>
          <cell r="AH24" t="str">
            <v>no</v>
          </cell>
          <cell r="AI24">
            <v>35370</v>
          </cell>
          <cell r="AJ24" t="str">
            <v>When plug bumped on landing collar at 2800 psi, plug leaked.  Need to go to 4 ksi to set packer; we were pumping 2 bpm @ 1500 psi; waited 6 hr on cement to be able to set packer.</v>
          </cell>
          <cell r="AS24">
            <v>75</v>
          </cell>
          <cell r="AT24" t="str">
            <v>EMMOTT / MFG, ASSY, &amp;/OR TESTING</v>
          </cell>
          <cell r="AU24" t="str">
            <v>In  assy of landing collar at Emmott Rd, in order to assemble insert into colllar, two holes were drilled COMPLETELY THRU, providing leak path once plug lands.</v>
          </cell>
          <cell r="AX24" t="str">
            <v>J Solari / R Prasad</v>
          </cell>
          <cell r="AY24">
            <v>35373</v>
          </cell>
          <cell r="AZ24" t="str">
            <v>we had drilled &amp; tapped &amp; plugged these holes to prevent leak (but still didn't hold rated pressure of this landing collar).</v>
          </cell>
          <cell r="BA24" t="str">
            <v>awaiting final action to prevent recurrence, to be noted below by Emmott.</v>
          </cell>
          <cell r="BB24" t="str">
            <v>J Solari / R Prasad</v>
          </cell>
          <cell r="BC24">
            <v>35373</v>
          </cell>
          <cell r="BI24" t="str">
            <v>G Givens</v>
          </cell>
          <cell r="BJ24" t="str">
            <v>R Guillory / T Jiral</v>
          </cell>
        </row>
        <row r="25">
          <cell r="B25" t="str">
            <v>EMMOTT RD PLANT</v>
          </cell>
          <cell r="D25">
            <v>9</v>
          </cell>
          <cell r="E25" t="str">
            <v>Liner Hangers</v>
          </cell>
          <cell r="G25" t="str">
            <v>LB 014541</v>
          </cell>
          <cell r="I25" t="str">
            <v>Rob Irving</v>
          </cell>
          <cell r="J25" t="str">
            <v>Broussard</v>
          </cell>
          <cell r="L25" t="str">
            <v>266-59</v>
          </cell>
          <cell r="M25" t="str">
            <v>266-59-4505</v>
          </cell>
          <cell r="N25" t="str">
            <v>N/A</v>
          </cell>
          <cell r="O25" t="str">
            <v>Size 45 5 1/2" 20-23# 4.538" TL OD 1.375" TL ID</v>
          </cell>
          <cell r="R25" t="str">
            <v>ADTI</v>
          </cell>
          <cell r="S25" t="str">
            <v>Drake Norberg</v>
          </cell>
          <cell r="T25">
            <v>1</v>
          </cell>
          <cell r="X25">
            <v>7.625</v>
          </cell>
          <cell r="Y25">
            <v>33.700000000000003</v>
          </cell>
          <cell r="Z25">
            <v>5.5</v>
          </cell>
          <cell r="AA25">
            <v>20</v>
          </cell>
          <cell r="AB25">
            <v>10650</v>
          </cell>
          <cell r="AC25">
            <v>10119</v>
          </cell>
          <cell r="AD25">
            <v>16.5</v>
          </cell>
          <cell r="AE25" t="str">
            <v>clean</v>
          </cell>
          <cell r="AF25" t="str">
            <v>full</v>
          </cell>
          <cell r="AG25">
            <v>215</v>
          </cell>
          <cell r="AH25" t="str">
            <v>no</v>
          </cell>
          <cell r="AI25">
            <v>35369</v>
          </cell>
          <cell r="AJ25" t="str">
            <v xml:space="preserve">11/1/96 4am tag btm 18' high; stuck liner; break circ w/ 25 spm 700 psi, 2.2 bpm - final pressure 1100 psi 3bpm.  Drop ball circ slowly for 1 hr; surge pipe pressure to +/- 2 ksi.  No pressure increases.  Explained options to ADTI rep - he decides to </v>
          </cell>
          <cell r="AK25" t="str">
            <v>drop ball #2; wile ball is falling, liner becomes unstuck &amp; we worked liner to btm; again-no pressure increases; ball not seating.  Decision is made to stay tied on to liner &amp; set HMC w/ plugs.  Total time circ on liner 5.5 hrs; mix &amp; pump cmt 62 bbl</v>
          </cell>
          <cell r="AL25" t="str">
            <v>17.2#.  Disp dart to lwp w/ 75 bbl (calc 75 bbl) &amp; bumped plug w/ 33 bbl (calc 33); total disp 108 (calc 108) max pressure disp 2250 psi @ 5 bpm.  Release RH; PU, set ZXP w/ max 70klb dn; good shear 25klb dn; pressure to bump plug &amp; set hgr 2ksi.</v>
          </cell>
          <cell r="AP25" t="str">
            <v>risk: plugs must bump to set hgr since ball no seat</v>
          </cell>
          <cell r="AS25">
            <v>73</v>
          </cell>
          <cell r="AT25" t="str">
            <v>EMMOTT / ENGINEERING DESIGN, DOC., ETC.</v>
          </cell>
          <cell r="AU25" t="str">
            <v>possible washout of seat, possible debris preventing ball from seating; possible deviation in workstring / liner preventing ball from getting to seat.</v>
          </cell>
          <cell r="AX25" t="str">
            <v>R Prasad</v>
          </cell>
          <cell r="AY25">
            <v>35373</v>
          </cell>
          <cell r="AZ25" t="str">
            <v>On location, set hgr against bumped plugs &amp; completed job.  At district, we are noting incidents of similar difficulty in order to determine root cause through trend analysis.  We are asking Emmott Rd QA / Engr to review design / matl spec</v>
          </cell>
          <cell r="BA25" t="str">
            <v xml:space="preserve"> &amp; certs where applicable, along w/ previously filed similar nonconformances (i.e., from other districts) to verify compliance in mfg, etc.  Any action deemed necessary to prevent recurrence of this is to be noted below.</v>
          </cell>
          <cell r="BB25" t="str">
            <v>R Irving / R Prasad</v>
          </cell>
          <cell r="BC25">
            <v>35373</v>
          </cell>
          <cell r="BD25" t="str">
            <v xml:space="preserve">Per B Cowart response dtd 11/15/96, this problem has been discussed w/ engr and on insert equipment we have not seen any appreciative washing on the seats; this problem will be monitored and if we have other incidents of this problem we will evaluate </v>
          </cell>
          <cell r="BG25" t="str">
            <v>B Cowart</v>
          </cell>
          <cell r="BH25">
            <v>35445</v>
          </cell>
          <cell r="BI25" t="str">
            <v>G Givens</v>
          </cell>
          <cell r="BJ25" t="str">
            <v>cc: T Jiral</v>
          </cell>
          <cell r="BK25" t="str">
            <v>R Prasad</v>
          </cell>
          <cell r="BL25">
            <v>35445</v>
          </cell>
        </row>
        <row r="26">
          <cell r="B26" t="str">
            <v>EMMOTT RD PLANT</v>
          </cell>
          <cell r="D26">
            <v>9</v>
          </cell>
          <cell r="E26" t="str">
            <v>Liner Hangers</v>
          </cell>
          <cell r="G26" t="str">
            <v>LB 014541</v>
          </cell>
          <cell r="I26" t="str">
            <v>Rob Irving</v>
          </cell>
          <cell r="J26" t="str">
            <v>Broussard</v>
          </cell>
          <cell r="L26" t="str">
            <v>296-29</v>
          </cell>
          <cell r="M26" t="str">
            <v>296-29-0027</v>
          </cell>
          <cell r="N26" t="str">
            <v>N/A</v>
          </cell>
          <cell r="O26" t="str">
            <v>5.5" x 7 5/8 ZXP pinned w/ 4 screws initial shear instead of 9</v>
          </cell>
          <cell r="R26" t="str">
            <v>ADTI</v>
          </cell>
          <cell r="S26" t="str">
            <v>Drake Norberg</v>
          </cell>
          <cell r="T26">
            <v>1</v>
          </cell>
          <cell r="X26">
            <v>7.625</v>
          </cell>
          <cell r="Y26">
            <v>33.700000000000003</v>
          </cell>
          <cell r="Z26">
            <v>5.5</v>
          </cell>
          <cell r="AA26">
            <v>20</v>
          </cell>
          <cell r="AB26">
            <v>10650</v>
          </cell>
          <cell r="AC26">
            <v>10119</v>
          </cell>
          <cell r="AD26">
            <v>16.5</v>
          </cell>
          <cell r="AE26" t="str">
            <v>clean</v>
          </cell>
          <cell r="AF26" t="str">
            <v>full</v>
          </cell>
          <cell r="AG26">
            <v>215</v>
          </cell>
          <cell r="AH26" t="str">
            <v>no</v>
          </cell>
          <cell r="AI26">
            <v>35369</v>
          </cell>
          <cell r="AJ26" t="str">
            <v xml:space="preserve">11/1/96 4am tag btm 18' high; stuck liner; break circ w/ 25 spm 700 psi, 2.2 bpm - final pressure 1100 psi 3bpm.  Drop ball circ slowly for 1 hr; surge pipe pressure to +/- 2 ksi.  No pressure increases.  Explained options to ADTI rep - he decides to </v>
          </cell>
          <cell r="AK26" t="str">
            <v>drop ball #2; wile ball is falling, liner becomes unstuck &amp; we worked liner to btm; again-no pressure increases; ball not seating.  Decision is made to stay tied on to liner &amp; set HMC w/ plugs.  Total time circ on liner 5.5 hrs; mix &amp; pump cmt 62 bbl</v>
          </cell>
          <cell r="AL26" t="str">
            <v>17.2#.  Disp dart to lwp w/ 75 bbl (calc 75 bbl) &amp; bumped plug w/ 33 bbl (calc 33); total disp 108 (calc 108) max pressure disp 2250 psi @ 5 bpm.  Release RH; PU, set ZXP w/ max 70klb dn; good shear 25klb dn; pressure to bump plug &amp; set hgr 2ksi.</v>
          </cell>
          <cell r="AP26" t="str">
            <v>N/A - run zxp w/ 4 pins vs 9</v>
          </cell>
          <cell r="AS26">
            <v>74</v>
          </cell>
          <cell r="AT26" t="str">
            <v>EMMOTT / MKTG: TECH UNIT, PROTOTYPE INTRO., ETC.</v>
          </cell>
          <cell r="AU26" t="str">
            <v>N/A - obtaining run history of ZXPs set w/ 5 pins initial shear vs 9, in order to ease setting of packer</v>
          </cell>
          <cell r="AX26" t="str">
            <v>R Prasad</v>
          </cell>
          <cell r="AY26">
            <v>35373</v>
          </cell>
          <cell r="AZ26" t="str">
            <v>N/A</v>
          </cell>
          <cell r="BA26" t="str">
            <v>1st run zxp w/ 4 pins</v>
          </cell>
          <cell r="BB26" t="str">
            <v>N/A</v>
          </cell>
          <cell r="BC26" t="str">
            <v>N/A</v>
          </cell>
          <cell r="BD26" t="str">
            <v>N/A</v>
          </cell>
          <cell r="BG26" t="str">
            <v>N/A</v>
          </cell>
          <cell r="BH26" t="str">
            <v>N/A</v>
          </cell>
          <cell r="BI26" t="str">
            <v>G Givens</v>
          </cell>
          <cell r="BJ26" t="str">
            <v>R Guillory</v>
          </cell>
          <cell r="BK26" t="str">
            <v>R Prasad</v>
          </cell>
          <cell r="BL26">
            <v>35373</v>
          </cell>
        </row>
        <row r="27">
          <cell r="B27" t="str">
            <v>NAVIGATION PLANT</v>
          </cell>
          <cell r="D27">
            <v>7</v>
          </cell>
          <cell r="E27" t="str">
            <v>R &amp; S</v>
          </cell>
          <cell r="G27" t="str">
            <v>LB 014617</v>
          </cell>
          <cell r="I27" t="str">
            <v>Randy Scroggins</v>
          </cell>
          <cell r="J27" t="str">
            <v>Broussard</v>
          </cell>
          <cell r="L27" t="str">
            <v>407-14</v>
          </cell>
          <cell r="M27" t="str">
            <v>407-14-4750</v>
          </cell>
          <cell r="O27" t="str">
            <v>47C4 Model "J" LH set Retrievamatic</v>
          </cell>
          <cell r="R27" t="str">
            <v>Aegis Energy</v>
          </cell>
          <cell r="S27" t="str">
            <v>Kim Galjour</v>
          </cell>
          <cell r="T27">
            <v>1</v>
          </cell>
          <cell r="X27">
            <v>7.625</v>
          </cell>
          <cell r="Y27">
            <v>33.700000000000003</v>
          </cell>
          <cell r="Z27">
            <v>5.5</v>
          </cell>
          <cell r="AA27">
            <v>23</v>
          </cell>
          <cell r="AB27" t="str">
            <v>TOL 9700'</v>
          </cell>
          <cell r="AC27">
            <v>8750</v>
          </cell>
          <cell r="AD27">
            <v>16.8</v>
          </cell>
          <cell r="AE27" t="str">
            <v>good</v>
          </cell>
          <cell r="AI27">
            <v>35366</v>
          </cell>
          <cell r="AJ27" t="str">
            <v>1.  Sheared all 4 cap screws connecting slip ring &amp; slip tie ring, allowing slip tie ring to back off and allow all 6 slips to come out from under the slip tie ring.  (2.  Also, Could not get returns  with tool jayed up but in down stroke?)</v>
          </cell>
          <cell r="AK27" t="str">
            <v>After checking tool at district, found that shear plane of screws shows that RH torque caused shear.</v>
          </cell>
          <cell r="AP27" t="str">
            <v>Possible risk of bigger problem next time.</v>
          </cell>
          <cell r="AS27">
            <v>33</v>
          </cell>
          <cell r="AT27" t="str">
            <v>NAVIG / ENGINEERING DESIGN, DOC., ETC.</v>
          </cell>
          <cell r="AU27" t="str">
            <v>Slack-off of tool (to get slips to bite cone) plus sufficient RH torque to shear these screws (i.e., during rotating off 2RH) allowed backoff of this right hand thread.</v>
          </cell>
          <cell r="AX27" t="str">
            <v>R Prasad</v>
          </cell>
          <cell r="AY27">
            <v>35375</v>
          </cell>
          <cell r="AZ27" t="str">
            <v xml:space="preserve">On location, finished job ok.  District . Navigation: determine torque required to shear these screws and check flow area around &amp; thru tool in order to consider modific. of (1) torque control in tool via these screws (2) thread backed-off, and / or </v>
          </cell>
          <cell r="BA27" t="str">
            <v>(3) flow area around &amp; internal of tool.  Flow area around tool &gt; flow area around CPH / Tieback ext.</v>
          </cell>
          <cell r="BI27" t="str">
            <v>J Knippa</v>
          </cell>
          <cell r="BJ27" t="str">
            <v>D Ingvardsen 11/9/96</v>
          </cell>
          <cell r="BK27" t="str">
            <v>awaiting preventive action by Navig.</v>
          </cell>
        </row>
        <row r="28">
          <cell r="B28" t="str">
            <v>NAVIGATION PLANT</v>
          </cell>
          <cell r="D28">
            <v>3</v>
          </cell>
          <cell r="E28" t="str">
            <v>Packers</v>
          </cell>
          <cell r="G28" t="str">
            <v>job log 126297</v>
          </cell>
          <cell r="I28" t="str">
            <v>R Prasad / D Delouche</v>
          </cell>
          <cell r="J28" t="str">
            <v>Broussard</v>
          </cell>
          <cell r="L28" t="str">
            <v>424-09</v>
          </cell>
          <cell r="M28" t="str">
            <v>424-09-1440</v>
          </cell>
          <cell r="N28" t="str">
            <v>N/A</v>
          </cell>
          <cell r="O28" t="str">
            <v>32-26 Model "DB" RPP; special OD 3.911 to drift thru cust irregular / old csg</v>
          </cell>
          <cell r="R28" t="str">
            <v>Burlington Resources</v>
          </cell>
          <cell r="S28" t="str">
            <v>Floyd Tryax</v>
          </cell>
          <cell r="T28" t="str">
            <v>A-3</v>
          </cell>
          <cell r="X28">
            <v>5.5</v>
          </cell>
          <cell r="Y28" t="str">
            <v>23 &amp; 20</v>
          </cell>
          <cell r="Z28">
            <v>5</v>
          </cell>
          <cell r="AA28">
            <v>18</v>
          </cell>
          <cell r="AC28" t="str">
            <v>see below</v>
          </cell>
          <cell r="AD28">
            <v>17.3</v>
          </cell>
          <cell r="AE28" t="str">
            <v>high visc water based mud + LCM</v>
          </cell>
          <cell r="AH28" t="str">
            <v>see below</v>
          </cell>
          <cell r="AI28">
            <v>35373</v>
          </cell>
          <cell r="AJ28" t="str">
            <v>RIH to set 32-26 DB RPP in 5" 18# liner but hung up &amp; preset in 5 1/2" 20# csg at 20 stds (1800').  After pooh, found plug of lost circulation matl in tailpipe below rpp.  Brought pkr &amp; B-2 set tool (stroked) to Cade to redress while rig trying to clean</v>
          </cell>
          <cell r="AK28" t="str">
            <v xml:space="preserve"> hole (did not circ bottoms up &amp; had high visc (160 to 180) mud).  At dist redress, found both backup rings (esp btm) torn &amp; excess scarring on DB guide, along with scarring on adapter sleeve.  As making 2nd run, pkr set at 2350', </v>
          </cell>
          <cell r="AL28" t="str">
            <v>again in 5 1/2" 23# csg.  After both runs, pkr had damaged slips &amp; cones &amp; caked lost circ matl / mud.  Scraper run not made til after 1st run.  Now running gage ring.</v>
          </cell>
          <cell r="AP28" t="str">
            <v>2 days + 2 redresses+ (not to BOT)</v>
          </cell>
          <cell r="AS28">
            <v>33</v>
          </cell>
          <cell r="AT28" t="str">
            <v>NAVIG / ENGINEERING DESIGN, DOC., ETC.</v>
          </cell>
          <cell r="AU28" t="str">
            <v>Pkr preset probably due to csg restriction / trash preventing RIH &amp; allowing hang-up; in effort to pull free out of tight spot, B-2 set tool stroked as top of adapter sleeve scarred against restriction.</v>
          </cell>
          <cell r="AV28" t="str">
            <v>2nd pkr preset possibly due to lack of clean-up of lost circulation matl (btms up not achieved between pkr presets) &amp;/or other csg restriction.</v>
          </cell>
          <cell r="AW28" t="str">
            <v>1/2/97: Flow restriction (0.05 sq in flow area) designed into tool when 1991 design revision changed sleeve ID.</v>
          </cell>
          <cell r="AX28" t="str">
            <v>L Francis / R Prasad</v>
          </cell>
          <cell r="AY28" t="str">
            <v>11/6/1996 1/2/97</v>
          </cell>
          <cell r="AZ28" t="str">
            <v>Recommended to cust to (1) run 4 1/8" mill, 1000' tbg, 4 1/2" mill to clean both csg sizes, &amp; to (2) circ clean to 80 to 90 visc prior to gih w/ bha again.</v>
          </cell>
          <cell r="BA28" t="str">
            <v>BOT - we've run 3rd trip Model "DB" on 1 - cylinder B2 for higher setting force, as recommended by L Francis / B Moody.</v>
          </cell>
          <cell r="BB28" t="str">
            <v>L Francis</v>
          </cell>
          <cell r="BC28" t="str">
            <v>11/6/96 / 11/18/96</v>
          </cell>
          <cell r="BD28" t="str">
            <v>Customer; Engineering has issued dwg revision to sleeve 296-214-00 to open up flow areas for proper equalization as RIH.</v>
          </cell>
          <cell r="BF28" t="str">
            <v>N/A</v>
          </cell>
          <cell r="BG28" t="str">
            <v>; R Prasad</v>
          </cell>
          <cell r="BH28">
            <v>35432</v>
          </cell>
          <cell r="BI28" t="str">
            <v>M Smith</v>
          </cell>
          <cell r="BJ28" t="str">
            <v>D Ingvardsen</v>
          </cell>
          <cell r="BK28" t="str">
            <v>R Prasad</v>
          </cell>
          <cell r="BL28" t="str">
            <v>11/15/1996 1/2/97</v>
          </cell>
        </row>
        <row r="29">
          <cell r="B29" t="str">
            <v>NAVIGATION PLANT</v>
          </cell>
          <cell r="D29">
            <v>7</v>
          </cell>
          <cell r="E29" t="str">
            <v>R &amp; S</v>
          </cell>
          <cell r="I29" t="str">
            <v>H Mellvile / R Prasad</v>
          </cell>
          <cell r="J29" t="str">
            <v>Broussard</v>
          </cell>
          <cell r="L29" t="str">
            <v>407-14</v>
          </cell>
          <cell r="M29" t="str">
            <v>407-14-4740</v>
          </cell>
          <cell r="O29" t="str">
            <v>47 C2 Mod 'J' Retrievamatic left hand set</v>
          </cell>
          <cell r="R29" t="str">
            <v>Cliffs Turnkey / Texaco</v>
          </cell>
          <cell r="S29" t="str">
            <v>Darren Hoffpauir</v>
          </cell>
          <cell r="T29">
            <v>7</v>
          </cell>
          <cell r="X29">
            <v>7.625</v>
          </cell>
          <cell r="Y29">
            <v>39</v>
          </cell>
          <cell r="Z29">
            <v>5.5</v>
          </cell>
          <cell r="AA29">
            <v>23</v>
          </cell>
          <cell r="AB29">
            <v>14700</v>
          </cell>
          <cell r="AC29">
            <v>13667</v>
          </cell>
          <cell r="AD29">
            <v>17.2</v>
          </cell>
          <cell r="AE29" t="str">
            <v>OBM</v>
          </cell>
          <cell r="AF29" t="str">
            <v>Full</v>
          </cell>
          <cell r="AG29">
            <v>248</v>
          </cell>
          <cell r="AH29" t="str">
            <v>no</v>
          </cell>
          <cell r="AI29">
            <v>35374</v>
          </cell>
          <cell r="AJ29" t="str">
            <v>After WOC from 5 1/2 X 7 5/8 liner job, attempted to get injection rate thru liner top w/ 2500 psi but didn't breakdown. Went up to 3500 psi on liner top but</v>
          </cell>
          <cell r="AK29" t="str">
            <v>no breakdown.  Picked up on tool to release it &amp; slacked off to ensure it was unset.  Started pumping slug dn DP &amp; Pressure went to 1000 psi; bled off &amp; picked up on tool again &amp; slacked off (still unset); on downstroke, pumped dn DP again but no returns;</v>
          </cell>
          <cell r="AL29" t="str">
            <v>left 500 psi on it, pu &amp; the pressure bled off.  Slacked off slow &amp; pumped slug while slacking off but no returns.  As long as tool in upstroke, CAN circulate, but not in downstroke.</v>
          </cell>
          <cell r="AP29" t="str">
            <v>Possible risk of bigger problem next time.</v>
          </cell>
          <cell r="AS29">
            <v>33</v>
          </cell>
          <cell r="AT29" t="str">
            <v>NAVIG / ENGINEERING DESIGN, DOC., ETC.</v>
          </cell>
          <cell r="AU29" t="str">
            <v xml:space="preserve">(1) Possible wallcake around packing elements &amp; heavy mud wt &amp; visc preventing bypass around &amp; internal thru tool (BUT CAN STILL CIRC IN UPSTROKE!!).  (2) Possibly packed off  in downstroke (BUT TOOL IS NOT SET &amp; STROKE OF OUTER COMPONENTS OF TOOL IS NOT </v>
          </cell>
          <cell r="AV29" t="str">
            <v>SUFFICIENT TO CLOSE BYPASS &amp; START PUSHING ELEMNTS OUT).  (3) Possible excess flow rate when pumping down DP allowing packoff / restriction in annulus to prevent returns up backside? (BUT KEPT PUMP RATE BELOW 3.5 BPM!)</v>
          </cell>
          <cell r="AX29" t="str">
            <v>H Mellville</v>
          </cell>
          <cell r="AY29">
            <v>35376</v>
          </cell>
          <cell r="AZ29" t="str">
            <v>On location,  finished job (did not cmt liner top &amp; ran 2nd run w/ tool f/ positive &amp; negative test - ok).</v>
          </cell>
          <cell r="BA29" t="str">
            <v>At Navig / district: (1) Check flow area around tool &amp; thru internal bypass to ensure at least same flow area as around CPH, HMC, tieback ext.  (2) Break down tool &amp; check for debris / shale.  (3) Look in PPDB to find trend in 47 J's similar problem-none.</v>
          </cell>
          <cell r="BB29" t="str">
            <v>H Mellville / R Prasad</v>
          </cell>
          <cell r="BC29">
            <v>35376</v>
          </cell>
          <cell r="BK29" t="str">
            <v>awaiting final cause</v>
          </cell>
        </row>
        <row r="30">
          <cell r="B30" t="str">
            <v>EMMOTT RD PLANT</v>
          </cell>
          <cell r="D30">
            <v>9</v>
          </cell>
          <cell r="E30" t="str">
            <v>Liner Hangers</v>
          </cell>
          <cell r="G30" t="str">
            <v>LB014542</v>
          </cell>
          <cell r="I30" t="str">
            <v>Rob Irving</v>
          </cell>
          <cell r="J30" t="str">
            <v>Broussard</v>
          </cell>
          <cell r="L30" t="str">
            <v>26934 &amp; 27020</v>
          </cell>
          <cell r="M30" t="str">
            <v>269-34-0002 &amp; 270-20-0048</v>
          </cell>
          <cell r="O30" t="str">
            <v>Double seal LWP &amp; Double seal PDP</v>
          </cell>
          <cell r="R30" t="str">
            <v>Mobil Oil</v>
          </cell>
          <cell r="S30" t="str">
            <v>D.J. Lecompte &amp; Dave Johnson</v>
          </cell>
          <cell r="T30">
            <v>2</v>
          </cell>
          <cell r="X30">
            <v>13.625</v>
          </cell>
          <cell r="Y30">
            <v>88.2</v>
          </cell>
          <cell r="Z30">
            <v>11.75</v>
          </cell>
          <cell r="AA30">
            <v>65</v>
          </cell>
          <cell r="AB30">
            <v>13076</v>
          </cell>
          <cell r="AC30" t="str">
            <v>12368 TOL</v>
          </cell>
          <cell r="AD30">
            <v>17</v>
          </cell>
          <cell r="AE30" t="str">
            <v>Gas Cut</v>
          </cell>
          <cell r="AF30" t="str">
            <v>Full-well flowing</v>
          </cell>
          <cell r="AG30">
            <v>240</v>
          </cell>
          <cell r="AH30" t="str">
            <v>NO</v>
          </cell>
          <cell r="AI30">
            <v>35377</v>
          </cell>
          <cell r="AJ30" t="str">
            <v xml:space="preserve">11/8/96, 730AM: Tag bottom w/ 20KLB down. PU 1 ft off btm; break circ; w/ 200 psi @ 30 spm - circ thru choke w/ hydril closed; final circ pressure 60 spm 400 psi 5.5 bpm; good returns; 1115 AM: drop ball, circ dn @ 20 spm 1.5 bpm ; seat ball after 45 min </v>
          </cell>
          <cell r="AK30" t="str">
            <v xml:space="preserve">w/ 1600 psi; s/o-hgr set; shear ball seat w/ 2350 psi; release from hgr w/ 20 rds at surface; pu 3'; total wt loss 75 KLB; set 30 KLB dn on hgr; rig Dowell to cmt; test lines to 5ksi; 2PM: mix &amp; pump 30 bbl 17.2 ppg; spacer ahead of cmt; 316 PM: mix &amp; </v>
          </cell>
          <cell r="AL30" t="str">
            <v>pump 88 bbl 17.5 ppg cmt; 4PM: attempt to drop dart; well was on severe vaccuun &amp; dart was lodged against retainer rod in LC head; 433 PM: rod withdrawn &amp; plug pulled from head by vaccuum; displace w/ 5 bbl water behind dart &amp; 346 bbl 17 ppg water based</v>
          </cell>
          <cell r="AM30" t="str">
            <v>mud; pumping rate 1ksi @ 5bpm w/ dowell unit. 545PM: pump pressure increased from 1000 to 4000 psi where co rep elected to set ZXP pkr &amp; then POOH.  6PM: ZXP pkr set w/ 100KLB dn max wt.  pull 4 stds &amp; circ long way.  DP u-tubing; pull 2 1/2 stds-utube</v>
          </cell>
          <cell r="AN30" t="str">
            <v>stopped; pulled total 4 stds; circulating out gas cut mud; had approx 50 bbl contaminated cmt back; circ pressure 330 psi 87 spm; gas 2000 units;  11/9/96, 1AM: pressure test entire system w/ 2ksi for 30 mins; good test.  2AM: released from rig before</v>
          </cell>
          <cell r="AO30" t="str">
            <v>setting tool pulled out of hole. Metallurgical testing of remaining two pieces show that the fracture was due to bending stress, occurring as plug was loaded into the LC plug dropping manifold (Ref Z Crouch letter dtd 12/16/96 to M McMichael).</v>
          </cell>
          <cell r="AP30" t="str">
            <v>full ticket was no-charged / 3Y (27899+18325.25+1698.30+1221+4166.70+2442.+3232.55+872.10+337.61+725.90+201.45+147.05+408.00+68+95.20+208.25+187.35+25.92+306.92+3488+156.25)</v>
          </cell>
          <cell r="AQ30">
            <v>66813.3</v>
          </cell>
          <cell r="AS30">
            <v>73</v>
          </cell>
          <cell r="AT30" t="str">
            <v>EMMOTT / ENGINEERING DESIGN, DOC., ETC.</v>
          </cell>
          <cell r="AU30" t="str">
            <v xml:space="preserve">Not enough clearance in LC Manifold for pump down plug caused bending stress during plug loading; insufficient specifications given to district personnel regarding the req'd distance between the rod of the lift nipple and the retaining pin of the wheel.  </v>
          </cell>
          <cell r="AV30" t="str">
            <v>This distance should have been specified to the field at the time this longer pump down plug was introduced by Emmott / engineering.</v>
          </cell>
          <cell r="AX30" t="str">
            <v>R Prasad</v>
          </cell>
          <cell r="AY30">
            <v>35429</v>
          </cell>
          <cell r="AZ30" t="str">
            <v>On location, Mobil drilled out &amp; squeezed.  At district, submit BPR to Emmott Rd requesting proper specification of the distance in the LC manifold between the rod of the lift nipple and the retaining pin of the wheel to prevent recurrence in the field.</v>
          </cell>
          <cell r="BB30" t="str">
            <v>R Prasad</v>
          </cell>
          <cell r="BC30">
            <v>35429</v>
          </cell>
          <cell r="BD30" t="str">
            <v xml:space="preserve">1) LC Plug Dropping Manifold: Per B Cowart instructions 12/17/96, cut off the end of the rod of the lift nipple to ensure a gap of 10.56" + 3" = 13.56" exists between the rod of the lift nipple and the retaining pin of the wheel. </v>
          </cell>
          <cell r="BF30" t="str">
            <v>Preventive action to be implemented by Emmott / engineering?:</v>
          </cell>
          <cell r="BI30" t="str">
            <v>B Cowart</v>
          </cell>
          <cell r="BJ30" t="str">
            <v>Marie Weichman; cc: P Stone</v>
          </cell>
          <cell r="BK30" t="str">
            <v>awaiting implementation of PA</v>
          </cell>
        </row>
        <row r="31">
          <cell r="B31" t="str">
            <v>DISTRICT</v>
          </cell>
          <cell r="D31">
            <v>7</v>
          </cell>
          <cell r="E31" t="str">
            <v>R &amp; S</v>
          </cell>
          <cell r="G31" t="str">
            <v>LB014713, LB243008</v>
          </cell>
          <cell r="I31" t="str">
            <v>Bob Efthemes &amp; Harold Menard</v>
          </cell>
          <cell r="J31" t="str">
            <v>Broussard</v>
          </cell>
          <cell r="L31" t="str">
            <v>410-01</v>
          </cell>
          <cell r="M31" t="str">
            <v>410-01-5621</v>
          </cell>
          <cell r="N31" t="str">
            <v>764-210</v>
          </cell>
          <cell r="O31" t="str">
            <v>47B2 Model "C" Fullbore Cementer</v>
          </cell>
          <cell r="R31" t="str">
            <v>Conoco</v>
          </cell>
          <cell r="S31" t="str">
            <v>Bob Stevens</v>
          </cell>
          <cell r="T31" t="str">
            <v>SWD#1</v>
          </cell>
          <cell r="X31">
            <v>7</v>
          </cell>
          <cell r="Y31">
            <v>23</v>
          </cell>
          <cell r="AB31">
            <v>2358</v>
          </cell>
          <cell r="AD31">
            <v>8.6999999999999993</v>
          </cell>
          <cell r="AE31" t="str">
            <v>saltwater</v>
          </cell>
          <cell r="AF31" t="str">
            <v>100'</v>
          </cell>
          <cell r="AG31">
            <v>105</v>
          </cell>
          <cell r="AH31" t="str">
            <v>yes</v>
          </cell>
          <cell r="AI31">
            <v>35381</v>
          </cell>
          <cell r="AJ31" t="str">
            <v>During makeup of tool to workstring, dropped tools in hole (forgot to makeup crossover to a joint of tbg, to check threads match-up, upon arriving on location)</v>
          </cell>
          <cell r="AP31" t="str">
            <v>(6 hrs rig time @ $155/hr + fishing @ $3456 + damaged 3 1/2 CSH jt @ $210 = $4596.) -100% disc ticket</v>
          </cell>
          <cell r="AQ31">
            <v>2104.0500000000002</v>
          </cell>
          <cell r="AR31">
            <v>2491.9499999999998</v>
          </cell>
          <cell r="AS31">
            <v>56</v>
          </cell>
          <cell r="AT31" t="str">
            <v>DISTRICT / SERVICE DIFFICULTY / CARELESSNESS</v>
          </cell>
          <cell r="AU31" t="str">
            <v>PH-6 thread instead of CS Hydril thread was sent to location &amp; used  because: (1) At loadout of tools, loadout sheet was not checked properly by Service Mgr / STS / Assistant per procedure BPM 8-1 para 6.0.  (2)  Crossover sub was not made up to a jt</v>
          </cell>
          <cell r="AV31" t="str">
            <v>of tbg upon arriving on location.</v>
          </cell>
          <cell r="AX31" t="str">
            <v>B Efthemes, D Wade, R Prasad</v>
          </cell>
          <cell r="AY31">
            <v>35383</v>
          </cell>
          <cell r="AZ31" t="str">
            <v>On location, Weatherford has fished out fullbore &amp; job continued.</v>
          </cell>
          <cell r="BB31" t="str">
            <v>B Efthemes</v>
          </cell>
          <cell r="BC31">
            <v>35382</v>
          </cell>
          <cell r="BD31" t="str">
            <v xml:space="preserve">(1) Loadout sheet to be signed as checked properly by Service Mgr / appointed designee per BPM 8-1 para 6.0.  (2) Crossover sub threads to be verified ASAP prior to  making up on workstring prior to RIH (i.e., verify at shop where feasible, but always on </v>
          </cell>
          <cell r="BF31" t="str">
            <v>All serial numbers to be included on loadout sheets.</v>
          </cell>
          <cell r="BG31" t="str">
            <v>B Efthemes, D Wade, R Prasad</v>
          </cell>
          <cell r="BH31">
            <v>35383</v>
          </cell>
          <cell r="BI31" t="str">
            <v>N/A</v>
          </cell>
          <cell r="BJ31" t="str">
            <v>N/A</v>
          </cell>
          <cell r="BK31" t="str">
            <v>awaiting completion of PA</v>
          </cell>
        </row>
        <row r="32">
          <cell r="B32" t="str">
            <v>EMMOTT RD PLANT</v>
          </cell>
          <cell r="D32">
            <v>10</v>
          </cell>
          <cell r="E32" t="str">
            <v>Thru-tubing comp's</v>
          </cell>
          <cell r="G32" t="str">
            <v>LB014738 &amp; LB014739</v>
          </cell>
          <cell r="I32" t="str">
            <v>R Prasad</v>
          </cell>
          <cell r="J32" t="str">
            <v>Broussard</v>
          </cell>
          <cell r="L32" t="str">
            <v>437-14</v>
          </cell>
          <cell r="N32" t="str">
            <v>437-14-1801</v>
          </cell>
          <cell r="O32" t="str">
            <v>1.81 Eline Setting tool</v>
          </cell>
          <cell r="R32" t="str">
            <v>Norcen Exploration</v>
          </cell>
          <cell r="S32" t="str">
            <v>Ronnie Robicheaux</v>
          </cell>
          <cell r="T32" t="str">
            <v>#2</v>
          </cell>
          <cell r="X32">
            <v>5</v>
          </cell>
          <cell r="Y32">
            <v>18</v>
          </cell>
          <cell r="AC32">
            <v>15030</v>
          </cell>
          <cell r="AD32">
            <v>8.4</v>
          </cell>
          <cell r="AE32" t="str">
            <v>brine</v>
          </cell>
          <cell r="AF32" t="str">
            <v>?</v>
          </cell>
          <cell r="AG32">
            <v>285</v>
          </cell>
          <cell r="AH32" t="str">
            <v>yes</v>
          </cell>
          <cell r="AI32">
            <v>35379</v>
          </cell>
          <cell r="AJ32" t="str">
            <v xml:space="preserve">This e-line tool was used to inflate two 2.13 Retrievable packers but shorted out when trying to hydraulically disconnect (set for 2906 psi).  Upon tear down of motor assy, top motor was found with burnt wire, while bottom motor tested input 40 volts---&gt; </v>
          </cell>
          <cell r="AK32" t="str">
            <v>output was 224 mA.  Also, where the burnt wire was a white (larger crossection), the others, connecting motors, are yellow.</v>
          </cell>
          <cell r="AP32" t="str">
            <v>Had to emerg pull disconnect instead of hydraulic.  Possible same problem next job.</v>
          </cell>
          <cell r="AS32">
            <v>73</v>
          </cell>
          <cell r="AT32" t="str">
            <v>EMMOTT / ENGINEERING DESIGN, DOC., ETC.</v>
          </cell>
          <cell r="AU32" t="str">
            <v>Specifications of wires per motor  per tool size lacking not received from Emmott, I.e., in tech unit.</v>
          </cell>
          <cell r="AV32" t="str">
            <v>Per Mark Knebel fax dtd 1/7/97, in review of this BPR w/ Engineering, "it appears one motor shorted out when 600 volts were applied to the tool.  the white wire that was burnt is incorrect for the 1.81" e-line setting tool. The whit wire is used with the</v>
          </cell>
          <cell r="AW32" t="str">
            <v>motors in the 2.13" tool. By using the larger wire in the 1.81 tool, there is a good chance the wire was cut or crimped duringinstallation; this would cause a weak point leading to the short."</v>
          </cell>
          <cell r="AX32" t="str">
            <v>G Conover, R Prasad, M Knebel</v>
          </cell>
          <cell r="AY32" t="str">
            <v>11/14/96, 1/7/97</v>
          </cell>
          <cell r="AZ32" t="str">
            <v>Check motor / wire spec &amp; rating on e-line tool; might need to set up next job differently. . .</v>
          </cell>
          <cell r="BB32" t="str">
            <v>R Prasad / G Conover</v>
          </cell>
          <cell r="BC32">
            <v>35383</v>
          </cell>
          <cell r="BD32" t="str">
            <v>Per M Knebel fax dtd 1/7/97, we are to verify the proper wires are used on motors with every redress.  District will implement this action upon receipt of proper specification (I.e. , commodity number or description" of proper wire per tool size.  We do</v>
          </cell>
          <cell r="BF32" t="str">
            <v>District awaiting specification of parts (wires) per tool size.</v>
          </cell>
          <cell r="BG32" t="str">
            <v>M Knebel / R Prasad</v>
          </cell>
          <cell r="BH32">
            <v>35437</v>
          </cell>
          <cell r="BJ32" t="str">
            <v>R Guillory</v>
          </cell>
          <cell r="BK32" t="str">
            <v>awaiting completion of PA by Emmott</v>
          </cell>
        </row>
        <row r="33">
          <cell r="B33" t="str">
            <v>CUSTOMER</v>
          </cell>
          <cell r="D33">
            <v>4</v>
          </cell>
          <cell r="E33" t="str">
            <v>Packer Acc's (Set tools, seals, etc.)</v>
          </cell>
          <cell r="G33" t="str">
            <v>LB014724</v>
          </cell>
          <cell r="I33" t="str">
            <v>Cody Flemming</v>
          </cell>
          <cell r="J33" t="str">
            <v>Broussard</v>
          </cell>
          <cell r="L33">
            <v>68422</v>
          </cell>
          <cell r="M33">
            <v>684225800</v>
          </cell>
          <cell r="O33" t="str">
            <v>2 7/8" x 6.672 x 2.441 Mod "L-316" On-Off Tool</v>
          </cell>
          <cell r="R33" t="str">
            <v>Chevron USA</v>
          </cell>
          <cell r="S33" t="str">
            <v>Glen Wick</v>
          </cell>
          <cell r="T33" t="str">
            <v>F6</v>
          </cell>
          <cell r="X33">
            <v>7.625</v>
          </cell>
          <cell r="Y33">
            <v>29.7</v>
          </cell>
          <cell r="AB33">
            <v>9925</v>
          </cell>
          <cell r="AC33">
            <v>7398</v>
          </cell>
          <cell r="AD33">
            <v>9.6</v>
          </cell>
          <cell r="AE33" t="str">
            <v>CaCl2</v>
          </cell>
          <cell r="AF33" t="str">
            <v>Full</v>
          </cell>
          <cell r="AG33">
            <v>210</v>
          </cell>
          <cell r="AH33" t="str">
            <v>N/A</v>
          </cell>
          <cell r="AI33">
            <v>35379</v>
          </cell>
          <cell r="AJ33" t="str">
            <v xml:space="preserve">Failed to disconnect; and instead, backed off 2 7/8" 6.5# 8RD connection just above on-off tool.  Co. Man directed the 3 final left hand rotations (without picking up between each rotation).  Note: Blocks were stuck in the "locked" position and would not </v>
          </cell>
          <cell r="AK33" t="str">
            <v>swivel.  (Rem. I had put 1 LH rotation then PU to see if off FH packer, then repeated twice; then Co Man directed the 3 final LH rotations, then we PU, POOH, and found connection backed off, leaving on-off tool in hole).</v>
          </cell>
          <cell r="AP33" t="str">
            <v>1 1/2 extra trips plus use of BOT fishing tools: stabilizer + bumper subs to get on-off tool out of hole; total time approx 29 hrs extra</v>
          </cell>
          <cell r="AS33">
            <v>62</v>
          </cell>
          <cell r="AT33" t="str">
            <v>CUSTOMER / WELL CONDITIONS</v>
          </cell>
          <cell r="AU33" t="str">
            <v>Excess LH rotation to on-off tool (up to an extra 3 rounds all at once), allowing thread back-off</v>
          </cell>
          <cell r="AX33" t="str">
            <v>C Flemming</v>
          </cell>
          <cell r="AY33">
            <v>35383</v>
          </cell>
          <cell r="AZ33" t="str">
            <v>On-off tool has been pulled out hole; keep BPR in job file at district.</v>
          </cell>
          <cell r="BB33" t="str">
            <v>C Flemming, R Prasad</v>
          </cell>
          <cell r="BC33">
            <v>35384</v>
          </cell>
          <cell r="BD33" t="str">
            <v>(customer)</v>
          </cell>
          <cell r="BG33" t="str">
            <v>R Prasad</v>
          </cell>
          <cell r="BH33">
            <v>35425</v>
          </cell>
          <cell r="BI33" t="str">
            <v>M Smith</v>
          </cell>
          <cell r="BJ33" t="str">
            <v>D Ingvardsen</v>
          </cell>
          <cell r="BK33" t="str">
            <v>R Prasad</v>
          </cell>
          <cell r="BL33">
            <v>35425</v>
          </cell>
        </row>
        <row r="34">
          <cell r="B34" t="str">
            <v>NAVIGATION PLANT</v>
          </cell>
          <cell r="D34">
            <v>3</v>
          </cell>
          <cell r="E34" t="str">
            <v>Packers</v>
          </cell>
          <cell r="G34" t="str">
            <v>RO # 111126</v>
          </cell>
          <cell r="I34" t="str">
            <v>Robert January</v>
          </cell>
          <cell r="J34" t="str">
            <v>Broussard</v>
          </cell>
          <cell r="L34" t="str">
            <v>614-41</v>
          </cell>
          <cell r="M34" t="str">
            <v>614-41-2400</v>
          </cell>
          <cell r="N34" t="str">
            <v>N/A</v>
          </cell>
          <cell r="O34" t="str">
            <v>51 (3 1/2 x 3.75) Slip</v>
          </cell>
          <cell r="R34" t="str">
            <v>N/A</v>
          </cell>
          <cell r="S34" t="str">
            <v>N/A</v>
          </cell>
          <cell r="T34" t="str">
            <v>N/A</v>
          </cell>
          <cell r="X34" t="str">
            <v>N/A</v>
          </cell>
          <cell r="Y34" t="str">
            <v>N/A</v>
          </cell>
          <cell r="Z34" t="str">
            <v>N/A</v>
          </cell>
          <cell r="AA34" t="str">
            <v>N/A</v>
          </cell>
          <cell r="AB34" t="str">
            <v>N/A</v>
          </cell>
          <cell r="AC34" t="str">
            <v>N/A</v>
          </cell>
          <cell r="AD34" t="str">
            <v>N/A</v>
          </cell>
          <cell r="AE34" t="str">
            <v>N/A</v>
          </cell>
          <cell r="AF34" t="str">
            <v>N/A</v>
          </cell>
          <cell r="AG34" t="str">
            <v>N/A</v>
          </cell>
          <cell r="AH34" t="str">
            <v>N/A</v>
          </cell>
          <cell r="AI34" t="str">
            <v>N/A</v>
          </cell>
          <cell r="AJ34" t="str">
            <v>In receipt inspection of this slip from warehouse 2C, slip was found w/ flattened teeth (last several teeth, nearest tail.  Reference pick slip 80746-001, order # 111126, order date 11/05/96, receipt inspection by</v>
          </cell>
          <cell r="AK34" t="str">
            <v>R January on 11/18/96.  Work order of these 12 slips is 6C0485 1H51.  Subject slip 1 pc is low stress steel stamped  "TEST", while none of other 11 slips is NOT.</v>
          </cell>
          <cell r="AP34" t="str">
            <v>1 slip</v>
          </cell>
          <cell r="AS34">
            <v>35</v>
          </cell>
          <cell r="AT34" t="str">
            <v>NAVIG / MFG, ASSY, &amp;/OR TESTING</v>
          </cell>
          <cell r="AU34" t="str">
            <v>The test slip is shipped, with the rest of the slips ordered, to the plant from the vendor; upon receipt at BOT plant, inspection overlooked this test slip, which ended up in  the district.</v>
          </cell>
          <cell r="AZ34" t="str">
            <v>(1) @ District: do not enter into inventory; (2) Submit BPR to Navig for completion of cause &amp; preventive action.</v>
          </cell>
          <cell r="BB34" t="str">
            <v>R Prasad</v>
          </cell>
          <cell r="BC34">
            <v>35387</v>
          </cell>
          <cell r="BD34" t="str">
            <v>Navigation: per D Ingvardsen response dtd 12/11/96, the slip vendors have been requested not to return these test slips with the order (if the test is normal, they wont return the lip; if the test fails, they should paint th slip red before returning it</v>
          </cell>
          <cell r="BF34" t="str">
            <v>(From district:1) has this new procedure been given to the vendors via statement on P.O. &amp; / or separate written procedure that is referenced on the P.O.? 2) Has this new procedure been implemented as part of the BOT plant procedures; I.e., proc manual?)</v>
          </cell>
          <cell r="BG34" t="str">
            <v>D Ingvardsen / R Prasad</v>
          </cell>
          <cell r="BH34">
            <v>35446</v>
          </cell>
          <cell r="BI34" t="str">
            <v>N/A</v>
          </cell>
          <cell r="BJ34" t="str">
            <v>D Ingvardsen</v>
          </cell>
          <cell r="BK34" t="str">
            <v>awaiting cause &amp; PA by Navig.</v>
          </cell>
        </row>
        <row r="35">
          <cell r="B35" t="str">
            <v>NAVIGATION PLANT</v>
          </cell>
          <cell r="D35">
            <v>3</v>
          </cell>
          <cell r="E35" t="str">
            <v>Packers</v>
          </cell>
          <cell r="G35" t="str">
            <v>RO # 111126</v>
          </cell>
          <cell r="I35" t="str">
            <v>Lonell Francis</v>
          </cell>
          <cell r="J35" t="str">
            <v>Broussard</v>
          </cell>
          <cell r="L35" t="str">
            <v>WO # 672963-1</v>
          </cell>
          <cell r="M35" t="str">
            <v>01-73511-52QA</v>
          </cell>
          <cell r="O35" t="str">
            <v>51 (3 1/2 x 2.68) Short String Mandrel w/ 3 1/2 NU 8 RD Pin</v>
          </cell>
          <cell r="R35" t="str">
            <v>N/A</v>
          </cell>
          <cell r="S35" t="str">
            <v>N/A</v>
          </cell>
          <cell r="T35" t="str">
            <v>N/A</v>
          </cell>
          <cell r="X35" t="str">
            <v>N/A</v>
          </cell>
          <cell r="Y35" t="str">
            <v>N/A</v>
          </cell>
          <cell r="Z35" t="str">
            <v>N/A</v>
          </cell>
          <cell r="AA35" t="str">
            <v>N/A</v>
          </cell>
          <cell r="AB35" t="str">
            <v>N/A</v>
          </cell>
          <cell r="AC35" t="str">
            <v>N/A</v>
          </cell>
          <cell r="AD35" t="str">
            <v>N/A</v>
          </cell>
          <cell r="AE35" t="str">
            <v>N/A</v>
          </cell>
          <cell r="AF35" t="str">
            <v>N/A</v>
          </cell>
          <cell r="AG35" t="str">
            <v>N/A</v>
          </cell>
          <cell r="AH35" t="str">
            <v>N/A</v>
          </cell>
          <cell r="AI35" t="str">
            <v>N/A</v>
          </cell>
          <cell r="AJ35" t="str">
            <v>In receipt inspection of this mandrel from Navigation, mandrel was found w/ damaged end; OD has been flattened, RO # 111126, order date 11/05/96.</v>
          </cell>
          <cell r="AP35" t="str">
            <v>1 mandrel + 1 day lag to obtain a conforming mandrel</v>
          </cell>
          <cell r="AS35">
            <v>36</v>
          </cell>
          <cell r="AT35" t="str">
            <v>NAVIG / HANDLING / SHIPPING</v>
          </cell>
          <cell r="AU35" t="str">
            <v>Poor handling by Navig shop personnel / material handlers.</v>
          </cell>
          <cell r="AX35" t="str">
            <v>D Ingvardsen</v>
          </cell>
          <cell r="AY35">
            <v>35421</v>
          </cell>
          <cell r="AZ35" t="str">
            <v>(1) At district, we are TM'ing it back to warehouse 2D, (2) Submit BPR to Navigation for completion of cause &amp; preventive action</v>
          </cell>
          <cell r="BA35" t="str">
            <v>Mandrel has been reworked by Navig. per D Ingvardsen 12/12/96.</v>
          </cell>
          <cell r="BB35" t="str">
            <v>L Francis / R Prasad</v>
          </cell>
          <cell r="BC35">
            <v>35388</v>
          </cell>
          <cell r="BD35" t="str">
            <v>Handling problem re-emphasized to Navig shop personnel &amp; material handlers per D Ingvardsen.</v>
          </cell>
          <cell r="BG35" t="str">
            <v>D Ingvardsen</v>
          </cell>
          <cell r="BH35">
            <v>35421</v>
          </cell>
          <cell r="BI35" t="str">
            <v>N/A</v>
          </cell>
          <cell r="BJ35" t="str">
            <v>D Ingvardsen</v>
          </cell>
          <cell r="BK35" t="str">
            <v>R Prasad</v>
          </cell>
          <cell r="BL35">
            <v>35425</v>
          </cell>
        </row>
        <row r="36">
          <cell r="B36" t="str">
            <v>EMMOTT RD PLANT</v>
          </cell>
          <cell r="D36">
            <v>10</v>
          </cell>
          <cell r="E36" t="str">
            <v>Thru-tubing comp's</v>
          </cell>
          <cell r="G36" t="str">
            <v>N/A</v>
          </cell>
          <cell r="I36" t="str">
            <v>Kenneth Rudd / George Conover</v>
          </cell>
          <cell r="J36" t="str">
            <v>Broussard</v>
          </cell>
          <cell r="L36" t="str">
            <v>437-14-1601</v>
          </cell>
          <cell r="O36" t="str">
            <v>fill plug f/ 1.69 Eline Setting Tool</v>
          </cell>
          <cell r="R36" t="str">
            <v>N/A</v>
          </cell>
          <cell r="S36" t="str">
            <v>N/A</v>
          </cell>
          <cell r="T36" t="str">
            <v>N/A</v>
          </cell>
          <cell r="X36" t="str">
            <v>N/A</v>
          </cell>
          <cell r="Y36" t="str">
            <v>N/A</v>
          </cell>
          <cell r="Z36" t="str">
            <v>N/A</v>
          </cell>
          <cell r="AA36" t="str">
            <v>N/A</v>
          </cell>
          <cell r="AB36" t="str">
            <v>N/A</v>
          </cell>
          <cell r="AC36" t="str">
            <v>N/A</v>
          </cell>
          <cell r="AD36" t="str">
            <v>N/A</v>
          </cell>
          <cell r="AE36" t="str">
            <v>N/A</v>
          </cell>
          <cell r="AF36" t="str">
            <v>N/A</v>
          </cell>
          <cell r="AG36" t="str">
            <v>N/A</v>
          </cell>
          <cell r="AH36" t="str">
            <v>N/A</v>
          </cell>
          <cell r="AI36" t="str">
            <v>N/A</v>
          </cell>
          <cell r="AJ36" t="str">
            <v>Filler plug does not seal tight, even with 2 o-rings installed as recommended by Emmott engineering.</v>
          </cell>
          <cell r="AP36" t="str">
            <v>no test confirmation</v>
          </cell>
          <cell r="AS36">
            <v>73</v>
          </cell>
          <cell r="AT36" t="str">
            <v>EMMOTT / ENGINEERING DESIGN, DOC., ETC.</v>
          </cell>
          <cell r="AU36" t="str">
            <v>Specification of thread gage &amp; inspection technique given by Engineering to manufacturing is insufficient for assurance of proper thread makeup; RP / ref R. V. Buskirk BPR response dtd 12/30/97.</v>
          </cell>
          <cell r="AX36" t="str">
            <v>R Prasad / RVB</v>
          </cell>
          <cell r="AY36">
            <v>35443</v>
          </cell>
          <cell r="AZ36" t="str">
            <v>Submit BPR to Emmott for completion of cause &amp; preventive action; awaiting rework instructions from Emmott for these plugs in the district:</v>
          </cell>
          <cell r="BB36" t="str">
            <v>K Rudd; R Prasad</v>
          </cell>
          <cell r="BC36" t="str">
            <v>11/20/96; 1/13/97</v>
          </cell>
          <cell r="BD36" t="str">
            <v>Per D V Buskirk BPR response dtd 12/30/97, see attached dwgs of port in question.  Drawing No. 470-782-00 will have note added to check perfect thread depth of port with a thread gage to assure that it is deep enough;  Selction of gage and technique for</v>
          </cell>
          <cell r="BG36" t="str">
            <v>D V Buskirk</v>
          </cell>
          <cell r="BH36" t="str">
            <v>12/30/97; recd by K Rudd 1/10/97</v>
          </cell>
          <cell r="BI36" t="str">
            <v>M Plant</v>
          </cell>
          <cell r="BJ36" t="str">
            <v>R Guillory</v>
          </cell>
          <cell r="BK36" t="str">
            <v>awaiting completion of CA &amp; PA by Emmott</v>
          </cell>
        </row>
        <row r="37">
          <cell r="B37" t="str">
            <v>EMMOTT RD PLANT</v>
          </cell>
          <cell r="D37">
            <v>10</v>
          </cell>
          <cell r="E37" t="str">
            <v>Thru-tubing comp's</v>
          </cell>
          <cell r="I37" t="str">
            <v>Bennett Davis</v>
          </cell>
          <cell r="J37" t="str">
            <v>Broussard</v>
          </cell>
          <cell r="L37" t="str">
            <v>437-14</v>
          </cell>
          <cell r="N37" t="str">
            <v>102</v>
          </cell>
          <cell r="O37" t="str">
            <v>1.69 E-line Setting Tool</v>
          </cell>
          <cell r="R37" t="str">
            <v>Apache</v>
          </cell>
          <cell r="S37" t="str">
            <v>Gene Miller</v>
          </cell>
          <cell r="T37">
            <v>42</v>
          </cell>
          <cell r="X37" t="str">
            <v>4?</v>
          </cell>
          <cell r="Y37" t="str">
            <v>11.34?</v>
          </cell>
          <cell r="AB37">
            <v>14300</v>
          </cell>
          <cell r="AC37">
            <v>13525</v>
          </cell>
          <cell r="AD37" t="str">
            <v>not avail</v>
          </cell>
          <cell r="AE37" t="str">
            <v>not avail</v>
          </cell>
          <cell r="AF37" t="str">
            <v>unknown</v>
          </cell>
          <cell r="AG37">
            <v>240</v>
          </cell>
          <cell r="AH37" t="str">
            <v>no</v>
          </cell>
          <cell r="AI37">
            <v>35389</v>
          </cell>
          <cell r="AJ37" t="str">
            <v>(1) 11/20/96: Tool set up at 13525 (plug), CCL 13513; to set tool checked 100v in, 107 mA out on surface.  At 13513, 210V in, 1.400 mA out up to 1.7 mA.</v>
          </cell>
          <cell r="AK37" t="str">
            <v>POOH, Eline tool w/ bha still shorted, but upon removing bha from Eline tool on surface, Eline tool checked fine.  Brought Eline tool to shop, CCL checked fine &amp; balance of Eline tool</v>
          </cell>
          <cell r="AL37" t="str">
            <v xml:space="preserve"> checked &amp; got 1.7 mA out at low Volt input. 11 psi left on compensating piston.  Upon removing housing to check motors only, motors checked fine.  Gear on end of bottom motor is rotating out of concentricity such that either shaft </v>
          </cell>
          <cell r="AM37" t="str">
            <v>or gear is misaligned.  Assembled speed reducer &amp; pump onto end of motor pack &amp; pistons reciprocating fine at 160v in, no short.  Also found, upon tear down of motors, 2nd motor brush damaged w/ approx 1/3 of brush removed.</v>
          </cell>
          <cell r="AN37" t="str">
            <v>(2) RIH 11/21/96, could not release w/ hydraullic diconnect set for 2906 psi; had to emerg. pull disconnect, as on BPR0031.</v>
          </cell>
          <cell r="AP37" t="str">
            <v>had to POOH to RIH again 11/21/96 since Eline tool shorted once on btm (extra trip); had to emerg pull off</v>
          </cell>
          <cell r="AS37">
            <v>73</v>
          </cell>
          <cell r="AT37" t="str">
            <v>EMMOTT / ENGINEERING DESIGN, DOC., ETC.</v>
          </cell>
          <cell r="AU37" t="str">
            <v>Per R Van Buskirk response dtd 12/30/96, 1) It's probable that the rather long motor pack was assembled w/ motor to motor (lovejoy) connectors so that the total motor length was too long for the space it must go into.  Assy of the motor housing over the</v>
          </cell>
          <cell r="AV37" t="str">
            <v xml:space="preserve">motorpack caused the motor pack to bend at the ends or buckle between motors.  Misalignment  caused the bent shaft, motors to go to 1.7 amp, and may explain breakage of brush.  (2) Could not release at 2906 psi at 240 F; testing at Emmott engr test lab </v>
          </cell>
          <cell r="AW37" t="str">
            <v>continue for 1.69 EWST.  Preliminary rating of the tool was for 2400 psi; it is likely that  as the temp increases the rating may have to decrease.</v>
          </cell>
          <cell r="AX37" t="str">
            <v>D V Buskirk</v>
          </cell>
          <cell r="AY37">
            <v>35444</v>
          </cell>
          <cell r="AZ37" t="str">
            <v>Submit BPR to Emmott for investigation, cause, &amp; PA.  (1) Request Emmott to review specs on gear / motor shaft for possible cause of misalignment.</v>
          </cell>
          <cell r="BA37" t="str">
            <v>(2) Request Emmott to review reliability of brushes / clearances in motor which would allow piece of brush to break &amp; hang up on armature, possibly resulting in shorted tool. (3) Request review of Eline tool ratings for cause of failure to hydraullic off.</v>
          </cell>
          <cell r="BB37" t="str">
            <v>K Rudd / G Conover / R Prasad</v>
          </cell>
          <cell r="BC37">
            <v>35390</v>
          </cell>
          <cell r="BD37" t="str">
            <v>Per R Van Buskirk response dtd 12/30/96, (1) Reduce belleville washer spacers by one. (2) reduce disconnect pressure to below 2400 psi.  District response: K Rudd / R Prasad has discussed fix # (1) w/ DVB &amp; determined that whether the brush was damaged</v>
          </cell>
          <cell r="BF37" t="str">
            <v>wear pattern. Also, per DVB the temp &amp; pressure ratings should be published in the tech unit within a month or two upon Emmott testing completion of inidividual motors; interim ratings: 3ksi below 200 F, 2400 psi above 200 F. Awaiting tech unit to close.</v>
          </cell>
          <cell r="BG37" t="str">
            <v>D V Buskirk; K Rudd, R Prasad</v>
          </cell>
          <cell r="BH37">
            <v>35445</v>
          </cell>
          <cell r="BI37" t="str">
            <v>cc: M Plante</v>
          </cell>
          <cell r="BJ37" t="str">
            <v>cc: M Weichman; P Stone</v>
          </cell>
          <cell r="BK37" t="str">
            <v>awaiting PA (1) &amp; (2) by Emmott</v>
          </cell>
        </row>
        <row r="38">
          <cell r="B38" t="str">
            <v>EMMOTT RD PLANT</v>
          </cell>
          <cell r="D38">
            <v>10</v>
          </cell>
          <cell r="E38" t="str">
            <v>Thru-tubing comp's</v>
          </cell>
          <cell r="I38" t="str">
            <v>Joey Fontenot</v>
          </cell>
          <cell r="J38" t="str">
            <v>Broussard</v>
          </cell>
          <cell r="L38" t="str">
            <v>330-72</v>
          </cell>
          <cell r="M38" t="str">
            <v>330-72-2101</v>
          </cell>
          <cell r="N38" t="str">
            <v>N/A</v>
          </cell>
          <cell r="O38" t="str">
            <v>2.13 Hydraullic Running Tool</v>
          </cell>
          <cell r="R38" t="str">
            <v>SWEPI</v>
          </cell>
          <cell r="S38" t="str">
            <v>Wayne Vilcan</v>
          </cell>
          <cell r="T38" t="str">
            <v>#49</v>
          </cell>
          <cell r="X38">
            <v>5.5</v>
          </cell>
          <cell r="Y38" t="str">
            <v>unknown</v>
          </cell>
          <cell r="Z38" t="str">
            <v>N/A</v>
          </cell>
          <cell r="AA38" t="str">
            <v>N/A</v>
          </cell>
          <cell r="AB38">
            <v>14000</v>
          </cell>
          <cell r="AC38">
            <v>12160</v>
          </cell>
          <cell r="AD38">
            <v>9.6999999999999993</v>
          </cell>
          <cell r="AE38" t="str">
            <v>saltwater</v>
          </cell>
          <cell r="AF38" t="str">
            <v>full</v>
          </cell>
          <cell r="AG38">
            <v>210</v>
          </cell>
          <cell r="AH38" t="str">
            <v>N/A</v>
          </cell>
          <cell r="AI38">
            <v>35352</v>
          </cell>
          <cell r="AJ38" t="str">
            <v>Could not release hydraullic running tool via 2.13 Eline Setting Tool; had to emer pull disconnect via Pull Disconnect Bellevile Type</v>
          </cell>
          <cell r="AP38" t="str">
            <v>had to leave hydraullic running tool &amp; fish of Belleville Disconnect in hole (permanent TTBP); risk involved in repeat incident</v>
          </cell>
          <cell r="AS38">
            <v>73</v>
          </cell>
          <cell r="AT38" t="str">
            <v>EMMOTT / ENGINEERING DESIGN, DOC., ETC.</v>
          </cell>
          <cell r="AU38" t="str">
            <v>Possible excessive pitting on ID of housing of hydraullic running tool, preventing cage from shifting off collet; we've had to junk out approx. 12 hydraullic running tool housings per year due to pitted IDs.</v>
          </cell>
          <cell r="AX38" t="str">
            <v>J Fontenot, K Rudd, R Prasad</v>
          </cell>
          <cell r="AY38">
            <v>35390</v>
          </cell>
          <cell r="AZ38" t="str">
            <v>Submit to Emmot for cause investigation &amp; review of trends in other districts running same tool.  Request Emmot to review material specs of this hydraullic housing for possible cause of premature pitting.  Suggest coating procedure for housing ID or</v>
          </cell>
          <cell r="BA38" t="str">
            <v>alternate material, etc.</v>
          </cell>
          <cell r="BB38" t="str">
            <v>K Rudd, J Fontenot, R Prasad</v>
          </cell>
          <cell r="BC38">
            <v>35390</v>
          </cell>
          <cell r="BI38" t="str">
            <v>M Plant</v>
          </cell>
          <cell r="BJ38" t="str">
            <v>R Guillory</v>
          </cell>
          <cell r="BK38" t="str">
            <v>awaiting cause &amp; PA by Emmott</v>
          </cell>
        </row>
        <row r="39">
          <cell r="B39" t="str">
            <v>NAVIGATION PLANT</v>
          </cell>
          <cell r="D39">
            <v>4</v>
          </cell>
          <cell r="E39" t="str">
            <v>Packer Acc's (Set tools, seals, etc.)</v>
          </cell>
          <cell r="G39" t="str">
            <v>N/A</v>
          </cell>
          <cell r="I39" t="str">
            <v>Wilfred Stovall</v>
          </cell>
          <cell r="J39" t="str">
            <v>Broussard</v>
          </cell>
          <cell r="M39" t="str">
            <v>03-43144-00, 03-43145-00</v>
          </cell>
          <cell r="N39" t="str">
            <v>N/A</v>
          </cell>
          <cell r="O39" t="str">
            <v>size 43 Piston Puller &amp; size 45, 47 Piston puller</v>
          </cell>
          <cell r="Q39" t="str">
            <v>N/A</v>
          </cell>
          <cell r="R39" t="str">
            <v>N/A</v>
          </cell>
          <cell r="S39" t="str">
            <v>N/A</v>
          </cell>
          <cell r="T39" t="str">
            <v>N/A</v>
          </cell>
          <cell r="X39" t="str">
            <v>N/A</v>
          </cell>
          <cell r="Y39" t="str">
            <v>N/A</v>
          </cell>
          <cell r="Z39" t="str">
            <v>N/A</v>
          </cell>
          <cell r="AA39" t="str">
            <v>N/A</v>
          </cell>
          <cell r="AB39" t="str">
            <v>N/A</v>
          </cell>
          <cell r="AC39" t="str">
            <v>N/A</v>
          </cell>
          <cell r="AD39" t="str">
            <v>N/A</v>
          </cell>
          <cell r="AE39" t="str">
            <v>N/A</v>
          </cell>
          <cell r="AF39" t="str">
            <v>N/A</v>
          </cell>
          <cell r="AG39" t="str">
            <v>N/A</v>
          </cell>
          <cell r="AH39" t="str">
            <v>N/A</v>
          </cell>
          <cell r="AI39" t="str">
            <v>N/A</v>
          </cell>
          <cell r="AJ39" t="str">
            <v>Tips of piston remover sheared off prematurely. For size 47 , when removing pistons from Model R, tips sheared off 3 piston removers.  This is also happening to the 43 Retrievamatics.</v>
          </cell>
          <cell r="AP39" t="str">
            <v>Frequent changeout of piston remover; possible safety hazard upon shear</v>
          </cell>
          <cell r="AS39">
            <v>33</v>
          </cell>
          <cell r="AT39" t="str">
            <v>NAVIG / ENGINEERING DESIGN, DOC., ETC.</v>
          </cell>
          <cell r="AU39" t="str">
            <v>Possible material &amp; / or thickness of tips; designd w/ 4340 w/ 130 ksi MYS for 800 (size 43), 1400 (45 &amp; 47), &amp; 2500 (49) # shear force; thickness chnt be changed w/o changing piston slot.</v>
          </cell>
          <cell r="AX39" t="str">
            <v>D Rothers</v>
          </cell>
          <cell r="AY39">
            <v>35425</v>
          </cell>
          <cell r="AZ39" t="str">
            <v>Submit BPR to Navigation for review of material / design spec &amp; material certs for possible improvement to piston removers to prevent premature shear.  no corrective action being issued by Navig due to design limitations w/ piston</v>
          </cell>
          <cell r="BB39" t="str">
            <v>W Stovall / R Prasad; D Rothers</v>
          </cell>
          <cell r="BC39" t="str">
            <v>11/22/96, 12/26/96</v>
          </cell>
          <cell r="BD39" t="str">
            <v>per D Rothers, use Hydraulic piston removal tool</v>
          </cell>
          <cell r="BG39" t="str">
            <v>D Rothers</v>
          </cell>
          <cell r="BH39">
            <v>35425</v>
          </cell>
          <cell r="BI39" t="str">
            <v>J Knippa, M Smith</v>
          </cell>
          <cell r="BJ39" t="str">
            <v>D Ingvardsen</v>
          </cell>
          <cell r="BK39" t="str">
            <v>R Prasad / W Stovall</v>
          </cell>
          <cell r="BL39">
            <v>35425</v>
          </cell>
        </row>
        <row r="40">
          <cell r="B40" t="str">
            <v>EMMOTT RD PLANT</v>
          </cell>
          <cell r="D40">
            <v>8</v>
          </cell>
          <cell r="E40" t="str">
            <v>Liner Hangers Accessories / Running tools, etc.</v>
          </cell>
          <cell r="G40" t="str">
            <v>N/A</v>
          </cell>
          <cell r="I40" t="str">
            <v>R Prasad / J Solari</v>
          </cell>
          <cell r="J40" t="str">
            <v>Broussard</v>
          </cell>
          <cell r="L40" t="str">
            <v>266-57-4001</v>
          </cell>
          <cell r="M40" t="str">
            <v>07-82193-00</v>
          </cell>
          <cell r="N40" t="str">
            <v>WO 369198</v>
          </cell>
          <cell r="O40" t="str">
            <v>Mandrel f/ Hydraulic Setting Tool f/ Insert Seal Units</v>
          </cell>
          <cell r="R40" t="str">
            <v>N/A</v>
          </cell>
          <cell r="S40" t="str">
            <v>N/A</v>
          </cell>
          <cell r="T40" t="str">
            <v>N/A</v>
          </cell>
          <cell r="X40" t="str">
            <v>N/A</v>
          </cell>
          <cell r="Y40" t="str">
            <v>N/A</v>
          </cell>
          <cell r="Z40" t="str">
            <v>N/A</v>
          </cell>
          <cell r="AA40" t="str">
            <v>N/A</v>
          </cell>
          <cell r="AB40" t="str">
            <v>N/A</v>
          </cell>
          <cell r="AC40" t="str">
            <v>N/A</v>
          </cell>
          <cell r="AD40" t="str">
            <v>N/A</v>
          </cell>
          <cell r="AE40" t="str">
            <v>N/A</v>
          </cell>
          <cell r="AF40" t="str">
            <v>N/A</v>
          </cell>
          <cell r="AG40" t="str">
            <v>N/A</v>
          </cell>
          <cell r="AH40" t="str">
            <v>N/A</v>
          </cell>
          <cell r="AI40" t="str">
            <v>Tested 12/2/96</v>
          </cell>
          <cell r="AJ40" t="str">
            <v>During test of setting tool, mandrel threads sheared from handle adapter.  Test pressure 6500 psi at thread failure.  Work order number etched on bottom face of mandrel is 369198.</v>
          </cell>
          <cell r="AP40" t="str">
            <v>mandrel + handle adapter</v>
          </cell>
          <cell r="AS40">
            <v>73</v>
          </cell>
          <cell r="AT40" t="str">
            <v>EMMOTT / ENGINEERING DESIGN, DOC., ETC.</v>
          </cell>
          <cell r="AU40" t="str">
            <v>Possible material and / or thread</v>
          </cell>
          <cell r="AZ40" t="str">
            <v>Submit BPR to Emmott for review of material / design spec &amp; material certs to verify strength of material at thread interface between mandrel &amp; handle adapter.</v>
          </cell>
          <cell r="BB40" t="str">
            <v>R Prasad</v>
          </cell>
          <cell r="BC40">
            <v>35401</v>
          </cell>
          <cell r="BI40" t="str">
            <v>B Cowart</v>
          </cell>
          <cell r="BJ40" t="str">
            <v>R Guillory</v>
          </cell>
          <cell r="BK40" t="str">
            <v>awaiting cause &amp; PA by Emmott</v>
          </cell>
        </row>
        <row r="41">
          <cell r="B41">
            <v>0</v>
          </cell>
          <cell r="D41">
            <v>9</v>
          </cell>
          <cell r="E41" t="str">
            <v>Liner Hangers</v>
          </cell>
          <cell r="G41" t="str">
            <v>LB014717</v>
          </cell>
          <cell r="I41" t="str">
            <v>Harold Menard</v>
          </cell>
          <cell r="J41" t="str">
            <v>Broussard</v>
          </cell>
          <cell r="L41" t="str">
            <v>266-67, 266-62</v>
          </cell>
          <cell r="M41" t="str">
            <v>266-62-4752, 266-67-4752</v>
          </cell>
          <cell r="N41" t="str">
            <v>N/A</v>
          </cell>
          <cell r="O41" t="str">
            <v>Insert Float valve &amp; insert float shoe assy 7 5/8" 39#</v>
          </cell>
          <cell r="Q41" t="str">
            <v>N/A</v>
          </cell>
          <cell r="R41" t="str">
            <v>W &amp; T Offshore</v>
          </cell>
          <cell r="S41" t="str">
            <v>James Comeaux</v>
          </cell>
          <cell r="T41" t="str">
            <v>A-7</v>
          </cell>
          <cell r="X41">
            <v>9.625</v>
          </cell>
          <cell r="Y41">
            <v>53.5</v>
          </cell>
          <cell r="Z41">
            <v>7.625</v>
          </cell>
          <cell r="AA41">
            <v>39</v>
          </cell>
          <cell r="AB41">
            <v>11485</v>
          </cell>
          <cell r="AC41">
            <v>12268</v>
          </cell>
          <cell r="AD41">
            <v>14.9</v>
          </cell>
          <cell r="AE41" t="str">
            <v>water based</v>
          </cell>
          <cell r="AF41" t="str">
            <v>full</v>
          </cell>
          <cell r="AG41" t="str">
            <v>N/A</v>
          </cell>
          <cell r="AH41" t="str">
            <v>?</v>
          </cell>
          <cell r="AI41">
            <v>35405</v>
          </cell>
          <cell r="AJ41" t="str">
            <v>Liner stuck.  Lost returns upon trying to break circ; went up to 2800 psi.  Broke down and was unable to circ; drop 1 3/4" ball &amp; let free fall as co man did not want  to lose mud.  Let ball fall  1 1/2 hr, then attempted to seat ball; pump 3 bbl for</v>
          </cell>
          <cell r="AK41" t="str">
            <v>15 min; for 3 1/2 more hrs.  As per co man, slacked off on string - release tool &amp; performed cmt job.  Drop dart &amp; displaced cmt.  Did not see shear on lwp; continued displacing.  Seven bbls before plug was to land, setting ball seated pressuring up to</v>
          </cell>
          <cell r="AL41" t="str">
            <v>shear seat.  Got shear of 2100 psi.  Pump seven more bbls; did not bump plus;  release pressure, check flow back.  Float equipment did not hold.  Shut well in for 4 hours.</v>
          </cell>
          <cell r="AP41" t="str">
            <v>floats did not hold</v>
          </cell>
          <cell r="AT41">
            <v>0</v>
          </cell>
        </row>
        <row r="42">
          <cell r="B42">
            <v>0</v>
          </cell>
          <cell r="D42">
            <v>9</v>
          </cell>
          <cell r="E42" t="str">
            <v>Liner Hangers</v>
          </cell>
          <cell r="G42" t="str">
            <v>LB 015560</v>
          </cell>
          <cell r="I42" t="str">
            <v>Alan White</v>
          </cell>
          <cell r="J42" t="str">
            <v>Broussard</v>
          </cell>
          <cell r="L42" t="str">
            <v>296-25</v>
          </cell>
          <cell r="M42" t="str">
            <v>296-25-0005</v>
          </cell>
          <cell r="N42" t="str">
            <v>N/A</v>
          </cell>
          <cell r="O42" t="str">
            <v>11 3/4 60-65# x 13 3/8 72 # ZXP</v>
          </cell>
          <cell r="Q42" t="str">
            <v>N/A</v>
          </cell>
          <cell r="R42" t="str">
            <v>Texaco E &amp; P</v>
          </cell>
          <cell r="S42" t="str">
            <v>Harold Bullion</v>
          </cell>
          <cell r="T42" t="str">
            <v>D-11</v>
          </cell>
          <cell r="X42">
            <v>13.375</v>
          </cell>
          <cell r="Y42">
            <v>72</v>
          </cell>
          <cell r="Z42" t="str">
            <v>113/4</v>
          </cell>
          <cell r="AA42">
            <v>65</v>
          </cell>
          <cell r="AB42">
            <v>4521</v>
          </cell>
          <cell r="AC42">
            <v>4322</v>
          </cell>
          <cell r="AD42">
            <v>13.3</v>
          </cell>
          <cell r="AE42" t="str">
            <v>good</v>
          </cell>
          <cell r="AG42">
            <v>197</v>
          </cell>
          <cell r="AH42" t="str">
            <v>no</v>
          </cell>
          <cell r="AI42">
            <v>35404</v>
          </cell>
          <cell r="AJ42" t="str">
            <v xml:space="preserve">After bumping plugs on cmt job, picked up and released dog sub.  Set 90000# down on top of liner to energize ZXP (sheared 45000# down).  POOH &amp; test BOPs. Closed blind rams to test liner.  Dowell pumping  2.5 bpm, and pressure did not exceed 200 psi. </v>
          </cell>
          <cell r="AK42" t="str">
            <v>After I left the rig, they were TIH w/ squeeze tool to find problem.  I called the rig on 12/7/96 at 0800 and they were squeezing the liner top.</v>
          </cell>
          <cell r="AP42" t="str">
            <v>ZXP leak?  zxp pkr 3Y'ed (N/C)</v>
          </cell>
          <cell r="AQ42">
            <v>27899</v>
          </cell>
          <cell r="AT42">
            <v>0</v>
          </cell>
        </row>
        <row r="43">
          <cell r="B43" t="str">
            <v>NAVIGATION PLANT</v>
          </cell>
          <cell r="D43">
            <v>3</v>
          </cell>
          <cell r="E43" t="str">
            <v>Packers</v>
          </cell>
          <cell r="G43" t="str">
            <v>N/A</v>
          </cell>
          <cell r="I43" t="str">
            <v>K Rudd / R Prasad</v>
          </cell>
          <cell r="J43" t="str">
            <v>Broussard</v>
          </cell>
          <cell r="L43" t="str">
            <v>441-32</v>
          </cell>
          <cell r="M43" t="str">
            <v>02-00140-04 &amp; 02-00141-04</v>
          </cell>
          <cell r="N43" t="str">
            <v>N/A</v>
          </cell>
          <cell r="O43" t="str">
            <v>Model "C" Rotationally locked Shear Out Safety Joint</v>
          </cell>
          <cell r="Q43" t="str">
            <v>N/A</v>
          </cell>
          <cell r="R43" t="str">
            <v>Chesapeake</v>
          </cell>
          <cell r="S43" t="str">
            <v>N/A</v>
          </cell>
          <cell r="T43" t="str">
            <v>N/A</v>
          </cell>
          <cell r="X43" t="str">
            <v>N/A</v>
          </cell>
          <cell r="Y43" t="str">
            <v>N/A</v>
          </cell>
          <cell r="Z43" t="str">
            <v>N/A</v>
          </cell>
          <cell r="AA43" t="str">
            <v>N/A</v>
          </cell>
          <cell r="AB43" t="str">
            <v>N/A</v>
          </cell>
          <cell r="AC43" t="str">
            <v>N/A</v>
          </cell>
          <cell r="AD43" t="str">
            <v>N/A</v>
          </cell>
          <cell r="AE43" t="str">
            <v>N/A</v>
          </cell>
          <cell r="AF43" t="str">
            <v>N/A</v>
          </cell>
          <cell r="AG43" t="str">
            <v>N/A</v>
          </cell>
          <cell r="AH43" t="str">
            <v>N/A</v>
          </cell>
          <cell r="AI43" t="str">
            <v>N/A</v>
          </cell>
          <cell r="AJ43" t="str">
            <v>When setting up job to load out tools, we questioned the torque rating on the "rotationally locked" shear out safety joint, since the top sub was mis-machined due to an unclear drawing (round lug, per dwg, was machined as a square lug instead).  Upon</v>
          </cell>
          <cell r="AK43" t="str">
            <v>calling Navigation AEG to determine whether the lug / profile was to be square or round, we were told that the lug was supposed to be a 1" diameter, so we started filing around the square lug to modify it into a round lug, per the print.  Upon in-house</v>
          </cell>
          <cell r="AL43" t="str">
            <v>rough calculation of the torque rating, as a round lug (point contact questioned), we discovered the torque rating is unusually low; so we asked Navig AEG to verify this rating.  This rating has been verified to be less than 300 ft-lbs, which is</v>
          </cell>
          <cell r="AM43" t="str">
            <v>insufficient.</v>
          </cell>
          <cell r="AP43" t="str">
            <v>potential loss of torque control</v>
          </cell>
          <cell r="AS43">
            <v>33</v>
          </cell>
          <cell r="AT43" t="str">
            <v>NAVIG / ENGINEERING DESIGN, DOC., ETC.</v>
          </cell>
          <cell r="AU43" t="str">
            <v>Design configuration of the torque control system.</v>
          </cell>
          <cell r="AX43" t="str">
            <v>R Prasad</v>
          </cell>
          <cell r="AY43">
            <v>35409</v>
          </cell>
          <cell r="AZ43" t="str">
            <v>In speaking w/ Navigation AEG, the lug design will be modified to sustain the required torque rating (at least that of a 2 3/8 8 rd. . . .).</v>
          </cell>
          <cell r="BA43" t="str">
            <v xml:space="preserve">  We are awaiting instructions from Navigation as to how to modify this tool to ensure sufficient torque rating.  Also, if torque rating is not planned to be published in a tech unit revision, we are requesting the final torque rating on this tool.</v>
          </cell>
          <cell r="BB43" t="str">
            <v>R Prasad</v>
          </cell>
          <cell r="BC43">
            <v>35409</v>
          </cell>
          <cell r="BD43" t="str">
            <v>At district: DO NOT run this tool until final modification instructions are received from Navigation to ensure torque rating.</v>
          </cell>
          <cell r="BI43" t="str">
            <v>J Johnson</v>
          </cell>
          <cell r="BJ43" t="str">
            <v>D Ingvardsen</v>
          </cell>
          <cell r="BK43" t="str">
            <v>awaiting cause &amp; PA by Navigation</v>
          </cell>
        </row>
        <row r="44">
          <cell r="B44" t="str">
            <v>DISTRICT</v>
          </cell>
          <cell r="D44">
            <v>4</v>
          </cell>
          <cell r="E44" t="str">
            <v>Packer Acc's (Set tools, seals, etc.)</v>
          </cell>
          <cell r="G44" t="str">
            <v>LB015116</v>
          </cell>
          <cell r="I44" t="str">
            <v>R January / R Prasad</v>
          </cell>
          <cell r="J44" t="str">
            <v>Broussard</v>
          </cell>
          <cell r="L44" t="str">
            <v>415-74</v>
          </cell>
          <cell r="M44" t="str">
            <v>415-74-0501</v>
          </cell>
          <cell r="N44" t="str">
            <v>N/A</v>
          </cell>
          <cell r="O44" t="str">
            <v>Unloader Sub</v>
          </cell>
          <cell r="Q44" t="str">
            <v>N/A</v>
          </cell>
          <cell r="R44" t="str">
            <v>Chesapeake</v>
          </cell>
          <cell r="S44" t="str">
            <v>Elden Appelt</v>
          </cell>
          <cell r="T44">
            <v>1</v>
          </cell>
          <cell r="X44">
            <v>7.625</v>
          </cell>
          <cell r="Y44">
            <v>39</v>
          </cell>
          <cell r="AB44">
            <v>14310</v>
          </cell>
          <cell r="AC44" t="str">
            <v>pkr: 14230</v>
          </cell>
          <cell r="AI44">
            <v>35414</v>
          </cell>
          <cell r="AJ44" t="str">
            <v xml:space="preserve">Unloader pinned w/ 5 shear screws but did not blow.  Pressured up to blow ball seat of B2 setting tool (5 ksi)  Upon receiving unloader sub into shop, tried to blow, but p wouldn't increase above 500 psi (leak).  Tore down sub &amp; found that both </v>
          </cell>
          <cell r="AK44" t="str">
            <v>bottom o-rings were completely missing.</v>
          </cell>
          <cell r="AP44" t="str">
            <v>no direct cost</v>
          </cell>
          <cell r="AS44">
            <v>52</v>
          </cell>
          <cell r="AT44" t="str">
            <v>DISTRICT / REDRESS</v>
          </cell>
          <cell r="AU44" t="str">
            <v>At redress - warehouseman left out o-rings.</v>
          </cell>
          <cell r="AX44" t="str">
            <v>R Prasad</v>
          </cell>
          <cell r="AY44">
            <v>35415</v>
          </cell>
          <cell r="AZ44" t="str">
            <v>on location - blew ball seat in B2 setting tool to allow circulation.</v>
          </cell>
          <cell r="BB44" t="str">
            <v>R Prasad / T Martin</v>
          </cell>
          <cell r="BC44">
            <v>35415</v>
          </cell>
          <cell r="BD44" t="str">
            <v>At district: 1) All unloader subs, B2 setting tools, &amp; J hydraulic setting tools will be stamped w/ serial numbers, 2) at redress, initials of redresser will be marked on tool, 3) At job loadout, redresser name / initials will be listed on layout sheet,</v>
          </cell>
          <cell r="BG44" t="str">
            <v>R Prasad / R January / J Schwegmann</v>
          </cell>
          <cell r="BH44" t="str">
            <v>12/16/96, 12/23/96</v>
          </cell>
          <cell r="BI44" t="str">
            <v>N/A</v>
          </cell>
          <cell r="BJ44" t="str">
            <v>cc: D Ingvardsen</v>
          </cell>
          <cell r="BK44" t="str">
            <v>R Prasad</v>
          </cell>
          <cell r="BL44">
            <v>35426</v>
          </cell>
        </row>
        <row r="45">
          <cell r="B45" t="str">
            <v>BROKEN ARROW PLANT</v>
          </cell>
          <cell r="D45">
            <v>12</v>
          </cell>
          <cell r="E45" t="str">
            <v>SSS</v>
          </cell>
          <cell r="G45" t="str">
            <v>N/A</v>
          </cell>
          <cell r="I45" t="str">
            <v>F Rogers</v>
          </cell>
          <cell r="J45" t="str">
            <v>Broussard</v>
          </cell>
          <cell r="L45" t="str">
            <v>880-82</v>
          </cell>
          <cell r="M45" t="str">
            <v>880-82-7460</v>
          </cell>
          <cell r="N45" t="str">
            <v>N/A</v>
          </cell>
          <cell r="O45" t="str">
            <v xml:space="preserve">Bonnet Assy f/ Ingram Cactus Model '215W' RAGV f/ 2 9/16" . . . </v>
          </cell>
          <cell r="Q45" t="str">
            <v>N/A</v>
          </cell>
          <cell r="R45" t="str">
            <v>N/A</v>
          </cell>
          <cell r="S45" t="str">
            <v>N/A</v>
          </cell>
          <cell r="T45" t="str">
            <v>N/A</v>
          </cell>
          <cell r="X45" t="str">
            <v>N/A</v>
          </cell>
          <cell r="Y45" t="str">
            <v>N/A</v>
          </cell>
          <cell r="Z45" t="str">
            <v>N/A</v>
          </cell>
          <cell r="AA45" t="str">
            <v>N/A</v>
          </cell>
          <cell r="AB45" t="str">
            <v>N/A</v>
          </cell>
          <cell r="AC45" t="str">
            <v>N/A</v>
          </cell>
          <cell r="AD45" t="str">
            <v>N/A</v>
          </cell>
          <cell r="AE45" t="str">
            <v>N/A</v>
          </cell>
          <cell r="AF45" t="str">
            <v>N/A</v>
          </cell>
          <cell r="AG45" t="str">
            <v>N/A</v>
          </cell>
          <cell r="AH45" t="str">
            <v>N/A</v>
          </cell>
          <cell r="AI45" t="str">
            <v>N/A</v>
          </cell>
          <cell r="AJ45" t="str">
            <v>Tech unit states "Standard Service. . . " and "class 1-2-3S" which conflicts with previous statement.</v>
          </cell>
          <cell r="AS45">
            <v>84</v>
          </cell>
          <cell r="AT45" t="str">
            <v>B.A. / MKTG: TECH UNIT, PROTOTYPE INTRO., ETC.</v>
          </cell>
          <cell r="AZ45" t="str">
            <v>Submit BPR to Broken Arrow to 1) determine correct statement and to 2) revise the tech unit and to 3) check other tech units for similar nonconformance &amp; correct where necessary.</v>
          </cell>
          <cell r="BB45" t="str">
            <v>R Prasad / F Rogers</v>
          </cell>
          <cell r="BC45">
            <v>35415</v>
          </cell>
          <cell r="BI45" t="str">
            <v>J Moore</v>
          </cell>
          <cell r="BJ45" t="str">
            <v>D Ott</v>
          </cell>
          <cell r="BK45" t="str">
            <v>awaiting cause &amp; PA by BA</v>
          </cell>
        </row>
        <row r="46">
          <cell r="B46" t="str">
            <v>NAVIGATION PLANT</v>
          </cell>
          <cell r="D46">
            <v>4</v>
          </cell>
          <cell r="E46" t="str">
            <v>Packer Acc's (Set tools, seals, etc.)</v>
          </cell>
          <cell r="G46" t="str">
            <v>N/A</v>
          </cell>
          <cell r="I46" t="str">
            <v>L Francis / D McDonald</v>
          </cell>
          <cell r="J46" t="str">
            <v>Broussard</v>
          </cell>
          <cell r="L46" t="str">
            <v>415-74</v>
          </cell>
          <cell r="M46" t="str">
            <v>02-71777-00 &amp; 02-71779-00; 02-71778-00</v>
          </cell>
          <cell r="N46" t="str">
            <v>N/A</v>
          </cell>
          <cell r="O46" t="str">
            <v>body, body extension, sleeve for Model "B-2" Hydraulic Setting Tool</v>
          </cell>
          <cell r="Q46" t="str">
            <v>N/A</v>
          </cell>
          <cell r="R46" t="str">
            <v>various</v>
          </cell>
          <cell r="S46" t="str">
            <v>N/A</v>
          </cell>
          <cell r="T46" t="str">
            <v>N/A</v>
          </cell>
          <cell r="X46" t="str">
            <v>N/A</v>
          </cell>
          <cell r="Y46" t="str">
            <v>N/A</v>
          </cell>
          <cell r="Z46" t="str">
            <v>N/A</v>
          </cell>
          <cell r="AA46" t="str">
            <v>N/A</v>
          </cell>
          <cell r="AB46" t="str">
            <v>N/A</v>
          </cell>
          <cell r="AC46" t="str">
            <v>N/A</v>
          </cell>
          <cell r="AD46" t="str">
            <v>N/A</v>
          </cell>
          <cell r="AE46" t="str">
            <v>N/A</v>
          </cell>
          <cell r="AF46" t="str">
            <v>N/A</v>
          </cell>
          <cell r="AG46" t="str">
            <v>N/A</v>
          </cell>
          <cell r="AH46" t="str">
            <v>N/A</v>
          </cell>
          <cell r="AI46" t="str">
            <v>N/A</v>
          </cell>
          <cell r="AJ46" t="str">
            <v>OD of Body &amp; Body extension and ID of cylinders (sleeves) are pitting prematurely; we end up junking out these parts every 5 runs on the average.</v>
          </cell>
          <cell r="AP46" t="str">
            <v>frequent change-out of these parts</v>
          </cell>
          <cell r="AS46">
            <v>33</v>
          </cell>
          <cell r="AT46" t="str">
            <v>NAVIG / ENGINEERING DESIGN, DOC., ETC.</v>
          </cell>
          <cell r="AZ46" t="str">
            <v>Submit BPR to Navig to determine feasibility &amp; cost of standardizing these parts w/ QPQ coating, or determining other material for coating to prevent this premature pitting.  Also request Navig to determine whether other districts are seeing same problem.</v>
          </cell>
          <cell r="BA46" t="str">
            <v>Navig: please review design / matl spec &amp; matl test certs where applic, along w/ any previously filed similar nonconformance (i.e., from other dists) to verify compliance in mfg, etc.</v>
          </cell>
          <cell r="BB46" t="str">
            <v>R Prasad / L Francis</v>
          </cell>
          <cell r="BC46">
            <v>35416</v>
          </cell>
          <cell r="BI46" t="str">
            <v>M Smith</v>
          </cell>
          <cell r="BJ46" t="str">
            <v>D Ingvardsen</v>
          </cell>
          <cell r="BK46" t="str">
            <v>awaiting cause &amp; PA by Navig.</v>
          </cell>
        </row>
        <row r="47">
          <cell r="B47" t="str">
            <v>DISTRICT'S SUPPLIER</v>
          </cell>
          <cell r="D47">
            <v>3</v>
          </cell>
          <cell r="E47" t="str">
            <v>Packers</v>
          </cell>
          <cell r="G47" t="str">
            <v>N/A</v>
          </cell>
          <cell r="I47" t="str">
            <v>L Francis / R Prasad</v>
          </cell>
          <cell r="J47" t="str">
            <v>Broussard</v>
          </cell>
          <cell r="M47" t="str">
            <v>01-86033-19</v>
          </cell>
          <cell r="N47" t="str">
            <v>N/A</v>
          </cell>
          <cell r="O47" t="str">
            <v>Mandrel for Size 47 Model 'FHL' Double GRip Large Bore Hyd Single String Packer</v>
          </cell>
          <cell r="Q47" t="str">
            <v>N/A</v>
          </cell>
          <cell r="R47" t="str">
            <v>N/A</v>
          </cell>
          <cell r="S47" t="str">
            <v>N/A</v>
          </cell>
          <cell r="T47" t="str">
            <v>N/A</v>
          </cell>
          <cell r="X47" t="str">
            <v>N/A</v>
          </cell>
          <cell r="Y47" t="str">
            <v>N/A</v>
          </cell>
          <cell r="Z47" t="str">
            <v>N/A</v>
          </cell>
          <cell r="AA47" t="str">
            <v>N/A</v>
          </cell>
          <cell r="AB47" t="str">
            <v>N/A</v>
          </cell>
          <cell r="AC47" t="str">
            <v>N/A</v>
          </cell>
          <cell r="AD47" t="str">
            <v>N/A</v>
          </cell>
          <cell r="AE47" t="str">
            <v>N/A</v>
          </cell>
          <cell r="AF47" t="str">
            <v>N/A</v>
          </cell>
          <cell r="AG47" t="str">
            <v>N/A</v>
          </cell>
          <cell r="AH47" t="str">
            <v>N/A</v>
          </cell>
          <cell r="AI47" t="str">
            <v>N/A</v>
          </cell>
          <cell r="AJ47" t="str">
            <v>Distance specified between o-ring groove and snap ring groove is 11.234" per BOT dwg 186-033-19.  Actual machined dimension is 10.63".</v>
          </cell>
          <cell r="AP47" t="str">
            <v>time delay in obtaining conforming mandrel</v>
          </cell>
          <cell r="AS47">
            <v>41</v>
          </cell>
          <cell r="AT47" t="str">
            <v>SUPPLIER / MANUFACTURING</v>
          </cell>
          <cell r="AZ47" t="str">
            <v xml:space="preserve">BPR to be submitted to supplier for completion of cause and action to prevent recurrence.  Specialty Machine to complete a 100% dimensional inspection form for this part upon inspection of dimensions.  Upon receipt of mandrel, receiving inspection  </v>
          </cell>
          <cell r="BA47" t="str">
            <v>here is to (1) verify dimensional inspection report is incompliance w/ dimensions specified on dwg &amp; (2) measure subject dimension to verify compliance of both the mandrel and the dimensional inspection report completed by Specialty.</v>
          </cell>
          <cell r="BB47" t="str">
            <v>R Prasad</v>
          </cell>
          <cell r="BC47">
            <v>35417</v>
          </cell>
          <cell r="BD47" t="str">
            <v>Specialty Machine to complete this section (i.e., preventive action by Specialty could be to standardize use of 100% dimensional inspection forms for BOT parts).</v>
          </cell>
          <cell r="BG47" t="str">
            <v>R Prasad / S Kersten</v>
          </cell>
          <cell r="BH47">
            <v>35426</v>
          </cell>
          <cell r="BI47" t="str">
            <v>N/A</v>
          </cell>
          <cell r="BJ47" t="str">
            <v>cc: D Ingvardsen</v>
          </cell>
          <cell r="BK47" t="str">
            <v>R Prasad</v>
          </cell>
          <cell r="BL47">
            <v>35426</v>
          </cell>
        </row>
        <row r="48">
          <cell r="B48" t="str">
            <v>EMMOTT RD PLANT</v>
          </cell>
          <cell r="D48">
            <v>9</v>
          </cell>
          <cell r="E48" t="str">
            <v>Liner Hangers</v>
          </cell>
          <cell r="G48" t="str">
            <v>N/A</v>
          </cell>
          <cell r="I48" t="str">
            <v>J Solari / R Prasad</v>
          </cell>
          <cell r="J48" t="str">
            <v>Broussard</v>
          </cell>
          <cell r="L48" t="str">
            <v>296-29</v>
          </cell>
          <cell r="M48" t="str">
            <v>296-29-0010</v>
          </cell>
          <cell r="N48" t="str">
            <v>order # 105319</v>
          </cell>
          <cell r="O48" t="str">
            <v>ZXP liner top packer w/ hold-down slips &amp; RH profile, 7.625, 39# 8RL Box down x 9.625 53.5# w/ 10' Type III ext.</v>
          </cell>
          <cell r="Q48" t="str">
            <v>N/A</v>
          </cell>
          <cell r="R48" t="str">
            <v>Southwestern Energy</v>
          </cell>
          <cell r="S48" t="str">
            <v>N/A</v>
          </cell>
          <cell r="T48">
            <v>1</v>
          </cell>
          <cell r="X48">
            <v>9.625</v>
          </cell>
          <cell r="Y48">
            <v>53.5</v>
          </cell>
          <cell r="Z48">
            <v>7.625</v>
          </cell>
          <cell r="AA48">
            <v>39</v>
          </cell>
          <cell r="AB48" t="str">
            <v>N/A</v>
          </cell>
          <cell r="AC48" t="str">
            <v>N/A</v>
          </cell>
          <cell r="AD48" t="str">
            <v>N/A</v>
          </cell>
          <cell r="AE48" t="str">
            <v>N/A</v>
          </cell>
          <cell r="AF48" t="str">
            <v>N/A</v>
          </cell>
          <cell r="AG48" t="str">
            <v>N/A</v>
          </cell>
          <cell r="AH48" t="str">
            <v>N/A</v>
          </cell>
          <cell r="AI48" t="str">
            <v>N/A</v>
          </cell>
          <cell r="AJ48" t="str">
            <v>At district, after stabbing up this job to test assy, the ZXP packer leaked from the ports between the packer &amp; extension; did not exceed city line pressure when leak was detected (did not start pressuring up yet).</v>
          </cell>
          <cell r="AP48" t="str">
            <v>shop time delay 3- 4 hrs tear down &amp; re-stab-up of job.</v>
          </cell>
          <cell r="AS48">
            <v>75</v>
          </cell>
          <cell r="AT48" t="str">
            <v>EMMOTT / MFG, ASSY, &amp;/OR TESTING</v>
          </cell>
          <cell r="AU48" t="str">
            <v>rust in the extension seal bore in locaiton of oring area</v>
          </cell>
          <cell r="AX48" t="str">
            <v>R Guillory</v>
          </cell>
          <cell r="AY48">
            <v>35419</v>
          </cell>
          <cell r="AZ48" t="str">
            <v xml:space="preserve">Submit BPR to Emmott for completion of  cause and action taken to prevent recurrence at plant.  (missing o-rings?).  Send zxp to Emmott for cause investigation &amp; preventive action.  At plant, per R Guillory, Seal assy was disassembled &amp; found rust in the </v>
          </cell>
          <cell r="BA48" t="str">
            <v>extension seal area at the location of the oring seal area.  The seal area was polished out to remove rust.  The orings were not damaged in any wat.  New orings were installed &amp; reassembled &amp; assy retested at city water pressure &amp; 500 psi &amp; tested good.</v>
          </cell>
          <cell r="BB48" t="str">
            <v>R Prasad</v>
          </cell>
          <cell r="BC48" t="str">
            <v>12/18/96; 12/20/96</v>
          </cell>
          <cell r="BD48" t="str">
            <v>not received yet</v>
          </cell>
          <cell r="BI48" t="str">
            <v>B Cowart</v>
          </cell>
          <cell r="BJ48" t="str">
            <v>R Guillory</v>
          </cell>
          <cell r="BK48" t="str">
            <v>awaiting PA by Emmott</v>
          </cell>
        </row>
        <row r="49">
          <cell r="B49" t="str">
            <v>DISTRICT</v>
          </cell>
          <cell r="D49">
            <v>9</v>
          </cell>
          <cell r="E49" t="str">
            <v>Liner Hangers</v>
          </cell>
          <cell r="G49" t="str">
            <v>job log 118857</v>
          </cell>
          <cell r="I49" t="str">
            <v>R Scroggins</v>
          </cell>
          <cell r="J49" t="str">
            <v>Broussard</v>
          </cell>
          <cell r="M49" t="str">
            <v>295-31-2042</v>
          </cell>
          <cell r="N49" t="str">
            <v>N/A</v>
          </cell>
          <cell r="O49" t="str">
            <v>RH Liner Setting Sleeve 10' ext 5 3/4 x 5 1/4</v>
          </cell>
          <cell r="Q49" t="str">
            <v>N/A</v>
          </cell>
          <cell r="R49" t="str">
            <v>SWEPI</v>
          </cell>
          <cell r="S49" t="str">
            <v>Dale Southwell</v>
          </cell>
          <cell r="T49">
            <v>3</v>
          </cell>
          <cell r="X49">
            <v>7.625</v>
          </cell>
          <cell r="Y49">
            <v>39</v>
          </cell>
          <cell r="Z49">
            <v>3.5</v>
          </cell>
          <cell r="AA49">
            <v>12.7</v>
          </cell>
          <cell r="AB49">
            <v>12417</v>
          </cell>
          <cell r="AC49" t="str">
            <v>TOL 12139</v>
          </cell>
          <cell r="AD49">
            <v>17</v>
          </cell>
          <cell r="AF49" t="str">
            <v>full</v>
          </cell>
          <cell r="AH49" t="str">
            <v>no</v>
          </cell>
          <cell r="AI49">
            <v>35232</v>
          </cell>
          <cell r="AJ49" t="str">
            <v>6/19/96 Arrived rig &amp; checked eqpt.  Released 2RH in pipe rack due to question about OD of btm sub &amp; ID of PBR - made 2RH up again, OK.  RU csg tools &amp; RIH.  Float shoe 2 jts 3 1/2" 12.7# L-80 vam ace RS type Fl collar, 1 jt, LC (floats ok).  FIll ea jt;</v>
          </cell>
          <cell r="AK49" t="str">
            <v xml:space="preserve">ran total 38 jts; MU hgr &amp; RIH w/ 27 stds 3 1/2" DP, then 5".  Putting mud in ea std while going to get another and after ea 10 stds.  Fill complete pipe full after the 3.5" DP &amp; still getting overflow.  After 18stds 5" DP, rig hands listening to pipe </v>
          </cell>
          <cell r="AL49" t="str">
            <v>when filling &amp; stopping when they hear mud coming back.  After 68 stds, pipe acting as though filling automatically, ran 7 more stds, pipe not weighing as much as calculated; shut down &amp; attempt to fill,  After 40 bbls, still not full, ran 2 more stds,</v>
          </cell>
          <cell r="AM49" t="str">
            <v xml:space="preserve">getting strong blwoback, ran 7 more stds &amp; put kelly on &amp; filled pipe.  We had put a differential of 3643 psi; looked in tech manual - ext collapse of 6654 psi; continue RIH, circ at shoe 51 spm 1400 psi - 2400 spm; started in OH 225klb up, 185 klb dn. </v>
          </cell>
          <cell r="AN49" t="str">
            <v xml:space="preserve">Put pump on 20 spm, 1000 psi &amp; tagged btm, 260 klb up, 185 klb dn, could not circ, set hgr &amp; released 2RH, 20 rnds, 5 back; picked up, pulling liner up hole; put more rnds to right, at one pt, put 30 rnds, 3 back.  Still pulling liner up hole.  Atempt to </v>
          </cell>
          <cell r="AO49" t="str">
            <v>screw back into liner; put 6 rnds left, 2 back, put 7, 2.5 back.  Torque incr from 200 to 340 amps and broke back to 320 amps; wait on WL truck; didnt use string shot since pulling liner up hole; POOH, sleeve is collapsed 7' - 9.5' from top.</v>
          </cell>
          <cell r="AP49" t="str">
            <v>extra trip + collapsed sleeve (1108+1163+501.75+120+21+1076.25+24.75+24.75+132+3425+275+4687.50+5692.50+828.75+245.25+308.25+120+21+1076.25+21+324+685+275+1370+275+540+816.75+176.25+14.25+14.25+225+75+75+18.75+1076.25+18.75+275+see cause</v>
          </cell>
          <cell r="AQ49">
            <v>36193.69</v>
          </cell>
          <cell r="AS49">
            <v>56</v>
          </cell>
          <cell r="AT49" t="str">
            <v>DISTRICT / SERVICE DIFFICULTY / CARELESSNESS</v>
          </cell>
          <cell r="AU49" t="str">
            <v>TST was not ensuring that pipe was being filled per std.  TST unaware of collapse potential of sleeve in this well; thus, didn't take proper precautions (filing pipe per std) to prevent collapse.</v>
          </cell>
          <cell r="AV49" t="str">
            <v>1370+2740+275+2411.25+218.25+348+828.75+129.75+360+84+50.44+252)</v>
          </cell>
          <cell r="AX49" t="str">
            <v>R Prasad</v>
          </cell>
          <cell r="AY49">
            <v>35418</v>
          </cell>
          <cell r="AZ49" t="str">
            <v>on location, POOH &amp; ran back in w/ 2nd trip, ensuring proper pipe fill-up.</v>
          </cell>
          <cell r="BB49" t="str">
            <v>R Prasad</v>
          </cell>
          <cell r="BC49">
            <v>35418</v>
          </cell>
          <cell r="BD49" t="str">
            <v>Forward this BPR to all GC liner districts to ensure proper training of TSTs / STSs;  strength ratings must be noted PRIOR to job start to take proper precautions to prevent exceeding these limits.</v>
          </cell>
          <cell r="BG49" t="str">
            <v>R Prasad</v>
          </cell>
          <cell r="BH49">
            <v>35418</v>
          </cell>
          <cell r="BI49" t="str">
            <v>B Cowart</v>
          </cell>
          <cell r="BJ49" t="str">
            <v>T Jiral</v>
          </cell>
          <cell r="BK49" t="str">
            <v>R Prasad</v>
          </cell>
          <cell r="BL49">
            <v>35418</v>
          </cell>
        </row>
        <row r="50">
          <cell r="B50" t="str">
            <v>DISTRICT</v>
          </cell>
          <cell r="D50">
            <v>13</v>
          </cell>
          <cell r="E50" t="str">
            <v>Inflatables</v>
          </cell>
          <cell r="G50" t="str">
            <v>LB014633</v>
          </cell>
          <cell r="I50" t="str">
            <v>Bennett Davis</v>
          </cell>
          <cell r="J50" t="str">
            <v>Broussard</v>
          </cell>
          <cell r="L50" t="str">
            <v>300-01</v>
          </cell>
          <cell r="M50" t="str">
            <v>300-01-4720</v>
          </cell>
          <cell r="N50" t="str">
            <v>04-04865-00, 47187</v>
          </cell>
          <cell r="O50" t="str">
            <v>7' PIP</v>
          </cell>
          <cell r="Q50" t="str">
            <v>N/A</v>
          </cell>
          <cell r="R50" t="str">
            <v>Chevron USA</v>
          </cell>
          <cell r="S50" t="str">
            <v>James Weatherby</v>
          </cell>
          <cell r="T50" t="str">
            <v>H-3</v>
          </cell>
          <cell r="X50">
            <v>9.625</v>
          </cell>
          <cell r="Y50">
            <v>47</v>
          </cell>
          <cell r="AB50">
            <v>281.42</v>
          </cell>
          <cell r="AC50" t="str">
            <v>287.73 element</v>
          </cell>
          <cell r="AD50">
            <v>8.6</v>
          </cell>
          <cell r="AE50" t="str">
            <v>saltwater</v>
          </cell>
          <cell r="AF50" t="str">
            <v>full</v>
          </cell>
          <cell r="AG50" t="str">
            <v>surface</v>
          </cell>
          <cell r="AH50" t="str">
            <v>N/A</v>
          </cell>
          <cell r="AI50">
            <v>35420</v>
          </cell>
          <cell r="AJ50" t="str">
            <v xml:space="preserve">Tubing was made up by pipe wrenches; thus, not enough torque was trapped in the tubing to allow getting off PIP thru J-slot; PIP deflated &amp; POOH; </v>
          </cell>
          <cell r="AK50" t="str">
            <v>2nd trip: after pull test; 4 rds to the left would not go - crane lifted too much to get off (11-12 KLB up) and backed off tubing at threads w/ 7 jts left in hole. RD</v>
          </cell>
          <cell r="AP50" t="str">
            <v>extra trip since retrieved PIP accidentally the first trip; on 2nd trip, left 7 jts in hole; Chevron not askingfor N/C or credit for fishing</v>
          </cell>
          <cell r="AS50">
            <v>57</v>
          </cell>
          <cell r="AT50" t="str">
            <v>DISTRICT SVC MGMT / SERVICE DIFFICULTY / LACK OF TRAINING</v>
          </cell>
          <cell r="AU50" t="str">
            <v>TST unaware of amount of torque req'd (versus that trapped in tbg connections) to get off PIP; SVC MGMT did not fully train TST to run this tool; had to have this TST run the job since others more trained weren't available (on jobs, etc.)</v>
          </cell>
          <cell r="AX50" t="str">
            <v>R Prasad / K Rudd</v>
          </cell>
          <cell r="AY50">
            <v>35425</v>
          </cell>
          <cell r="AZ50" t="str">
            <v>On location, Chevron will order &amp; run fishing tool overshot to retrieve tbg &amp; PIP at same time.</v>
          </cell>
          <cell r="BB50" t="str">
            <v>K Rudd</v>
          </cell>
          <cell r="BC50">
            <v>35425</v>
          </cell>
          <cell r="BD50" t="str">
            <v>TST now knows it takes more torque than just 36" wrench when performing this task downhole.</v>
          </cell>
          <cell r="BG50" t="str">
            <v>K Rudd</v>
          </cell>
          <cell r="BH50">
            <v>35425</v>
          </cell>
          <cell r="BI50" t="str">
            <v>N/A</v>
          </cell>
          <cell r="BJ50" t="str">
            <v>N/A</v>
          </cell>
          <cell r="BK50" t="str">
            <v>R Prasad</v>
          </cell>
          <cell r="BL50">
            <v>35425</v>
          </cell>
        </row>
        <row r="51">
          <cell r="B51" t="str">
            <v>DISTRICT</v>
          </cell>
          <cell r="D51">
            <v>8</v>
          </cell>
          <cell r="E51" t="str">
            <v>Liner Hangers Accessories / Running tools, etc.</v>
          </cell>
          <cell r="G51" t="str">
            <v>N/A</v>
          </cell>
          <cell r="I51" t="str">
            <v>Arthur White</v>
          </cell>
          <cell r="J51" t="str">
            <v>Broussard</v>
          </cell>
          <cell r="O51" t="str">
            <v>4 1/2 IF LC Plug Dropping Head</v>
          </cell>
          <cell r="Q51" t="str">
            <v>memo only</v>
          </cell>
          <cell r="R51" t="str">
            <v>N/A</v>
          </cell>
          <cell r="S51" t="str">
            <v>N/A</v>
          </cell>
          <cell r="T51" t="str">
            <v>N/A</v>
          </cell>
          <cell r="X51" t="str">
            <v>N/A</v>
          </cell>
          <cell r="Y51" t="str">
            <v>N/A</v>
          </cell>
          <cell r="Z51" t="str">
            <v>N/A</v>
          </cell>
          <cell r="AA51" t="str">
            <v>N/A</v>
          </cell>
          <cell r="AB51" t="str">
            <v>N/A</v>
          </cell>
          <cell r="AC51" t="str">
            <v>N/A</v>
          </cell>
          <cell r="AD51" t="str">
            <v>N/A</v>
          </cell>
          <cell r="AE51" t="str">
            <v>N/A</v>
          </cell>
          <cell r="AF51" t="str">
            <v>N/A</v>
          </cell>
          <cell r="AG51" t="str">
            <v>N/A</v>
          </cell>
          <cell r="AH51" t="str">
            <v>N/A</v>
          </cell>
          <cell r="AI51" t="str">
            <v>N/A</v>
          </cell>
          <cell r="AJ51" t="str">
            <v>Plug dropping head was shipped to Belle Chase, LA instead of Victoria, TX.</v>
          </cell>
          <cell r="AP51" t="str">
            <v>$511.65 freight to Belle Chase &amp; return; also indirect cost: since didnt arrive in Victoria on time, Victoria had to scramble up another head</v>
          </cell>
          <cell r="AQ51">
            <v>511.65</v>
          </cell>
          <cell r="AS51">
            <v>57</v>
          </cell>
          <cell r="AT51" t="str">
            <v>DISTRICT SVC MGMT / SERVICE DIFFICULTY / LACK OF TRAINING</v>
          </cell>
          <cell r="AU51" t="str">
            <v>last out liner rep  miscommunicated shipping destination to liner svc warehouseman</v>
          </cell>
          <cell r="AX51" t="str">
            <v>A White / R Prasad</v>
          </cell>
          <cell r="AY51">
            <v>35421</v>
          </cell>
          <cell r="AZ51" t="str">
            <v>Reshipped to Victoria, TX</v>
          </cell>
          <cell r="BB51" t="str">
            <v>A White</v>
          </cell>
          <cell r="BC51">
            <v>35421</v>
          </cell>
          <cell r="BD51" t="str">
            <v>better communication</v>
          </cell>
          <cell r="BG51" t="str">
            <v>A White / R Prasad</v>
          </cell>
          <cell r="BH51">
            <v>35425</v>
          </cell>
          <cell r="BI51" t="str">
            <v>N/A</v>
          </cell>
          <cell r="BJ51" t="str">
            <v>N/A</v>
          </cell>
          <cell r="BK51" t="str">
            <v>R Prasad</v>
          </cell>
          <cell r="BL51">
            <v>35425</v>
          </cell>
        </row>
        <row r="52">
          <cell r="B52" t="str">
            <v>NAVIGATION PLANT</v>
          </cell>
          <cell r="D52">
            <v>4</v>
          </cell>
          <cell r="E52" t="str">
            <v>Packer Acc's (Set tools, seals, etc.)</v>
          </cell>
          <cell r="I52" t="str">
            <v>R Prasad</v>
          </cell>
          <cell r="J52" t="str">
            <v>Houma</v>
          </cell>
          <cell r="L52" t="str">
            <v>415-74</v>
          </cell>
          <cell r="M52" t="str">
            <v>02-96714-00</v>
          </cell>
          <cell r="N52" t="str">
            <v>N/A</v>
          </cell>
          <cell r="O52" t="str">
            <v>B2 Setting Tool / Sleeve</v>
          </cell>
          <cell r="Q52" t="str">
            <v>N/A</v>
          </cell>
          <cell r="R52" t="str">
            <v>Parker &amp; Parsley</v>
          </cell>
          <cell r="S52" t="str">
            <v>Jim Parker</v>
          </cell>
          <cell r="T52" t="str">
            <v>#2</v>
          </cell>
          <cell r="X52">
            <v>7</v>
          </cell>
          <cell r="Y52">
            <v>38</v>
          </cell>
          <cell r="AC52">
            <v>10913</v>
          </cell>
          <cell r="AD52">
            <v>13.2</v>
          </cell>
          <cell r="AE52" t="str">
            <v>WBM</v>
          </cell>
          <cell r="AF52" t="str">
            <v>full</v>
          </cell>
          <cell r="AG52" t="str">
            <v>N/A</v>
          </cell>
          <cell r="AH52" t="str">
            <v>yes</v>
          </cell>
          <cell r="AI52" t="str">
            <v>12/22/96-12/26/96</v>
          </cell>
          <cell r="AJ52" t="str">
            <v xml:space="preserve">1) Went in hole w/ fill sub (top of J hydraulic tool), 4 stage B2 brass, Retrieva-D packer w/ tail pipe: 3 jts 2 7/8 7.9# PH6, HWN nipple 2.188 profile w/ 2.010 no go w/ plug in place, 6' pup jt, HWS nipple 2.188 profile, 6' pup; ran 67 stds (doubles) + </v>
          </cell>
          <cell r="AK52" t="str">
            <v xml:space="preserve">1 single to 4200' &amp; packer pre-set (ran very slow in hole), got pulling tool &amp; retrieved packer bha. 2) Ran a 70-A2-32 SC-2 w/ same tailpipe less 1 pup jt &amp; preset w/ 27 stds + 1 single (1700');POOH &amp; retrieved pkr assy; 3) RIH w/ SC-2 assy w/ </v>
          </cell>
          <cell r="AL52" t="str">
            <v xml:space="preserve">4 cylinder B2 setting tool w/ annealed steel (19320# shear) w/ 40 stds to 2500' &amp; packer pre-set w/ 40 stds; POOH; (Running speed approx 80 to 120 fpm); when last B2 was inspected at shop by Dist Mgr, Svc Mgr, &amp; Region Engineer, heavier mud "cake" was </v>
          </cell>
          <cell r="AM52" t="str">
            <v xml:space="preserve">found in top sleeve; bottom 3 sleeves had mud, but localized placement of any mud lump was not detected since upon arriving in district from location, B2 was re-cocked, re-pinned w/ annealed steel, &amp; re-shifted at required setting pressure of </v>
          </cell>
          <cell r="AN52" t="str">
            <v xml:space="preserve">approx. 1000 psi.  Mud lumps found in the top sleeve versus other 3 sleeves. Note: annulus fluid flow path into top sleeve is thru qty 4- 0.25" ports (as opposed to 2 sets of ports &amp; reduced clearance between ID of bottom of sleeve &amp; </v>
          </cell>
          <cell r="AO52" t="str">
            <v>OD of body extension - annulus fluid thru bottom 3 cylinders must follow this path).</v>
          </cell>
          <cell r="AP52" t="str">
            <v>3 trips preset; rig cost for 5 days, lost final packer job to competitor due to these problems</v>
          </cell>
          <cell r="AS52">
            <v>33</v>
          </cell>
          <cell r="AT52" t="str">
            <v>NAVIG / ENGINEERING DESIGN, DOC., ETC.</v>
          </cell>
          <cell r="AU52" t="str">
            <v>Check B2 clearances for pressure equalization across tool versus mud weight &amp; running speed.  (1) Annulus fluid enters qty 4 0.25" ports at 0.196 sq inch total flow area at top of sleeve,</v>
          </cell>
          <cell r="AV52" t="str">
            <v xml:space="preserve"> flows thru a 0.525 sq inch flow area, enters qty 4 0.25" ports at 0.196 sq inch flow area on bottom of sleeve, and must pass thru a 0.044 sq inch flow area to fill the clearance between the sleeve and body extension.</v>
          </cell>
          <cell r="AW52" t="str">
            <v>(2)  Tubing fluid enters (qty 2) 7/16" ports total flow area=0.150 sq inch into the 4.7 sq inch setting area.  (Flow areas calculated using machine dimensions for smallest designed flow paths.)</v>
          </cell>
          <cell r="AX52" t="str">
            <v>R Prasad</v>
          </cell>
          <cell r="AY52">
            <v>35426</v>
          </cell>
          <cell r="AZ52" t="str">
            <v>Submit BPR to Navigation to review these clearances against the running speed &amp; mud weight.  Request from Navigation a specification of the maximum mud weight and maximum running speed to ensure proper equalization of annulus pressure to tubing pressure</v>
          </cell>
          <cell r="BA52" t="str">
            <v>as running in hole.  Request review of this tool for feasibility of increasing flow areas to permit higher mud weights and / or running speed.  Also request review of similar incident w/ B2 in WBM in other BOT districts for possible trend.</v>
          </cell>
          <cell r="BB52" t="str">
            <v>R Prasad</v>
          </cell>
          <cell r="BC52">
            <v>35426</v>
          </cell>
          <cell r="BD52" t="str">
            <v>Engineering has issued corrected dwg for sleeve opening up flow areas for proper pressure equalization as RIH.</v>
          </cell>
          <cell r="BG52" t="str">
            <v>R Prasad</v>
          </cell>
          <cell r="BH52">
            <v>35432</v>
          </cell>
          <cell r="BI52" t="str">
            <v>M Smith</v>
          </cell>
          <cell r="BJ52" t="str">
            <v>D Ingvardsen</v>
          </cell>
          <cell r="BK52" t="str">
            <v>R Prasad</v>
          </cell>
          <cell r="BL52">
            <v>35432</v>
          </cell>
        </row>
        <row r="53">
          <cell r="B53" t="str">
            <v>NAVIGATION PLANT</v>
          </cell>
          <cell r="D53">
            <v>4</v>
          </cell>
          <cell r="E53" t="str">
            <v>Packer Acc's (Set tools, seals, etc.)</v>
          </cell>
          <cell r="I53" t="str">
            <v>J King</v>
          </cell>
          <cell r="J53" t="str">
            <v>Palestine</v>
          </cell>
          <cell r="L53" t="str">
            <v>415-74</v>
          </cell>
          <cell r="M53" t="str">
            <v>02-96714-00</v>
          </cell>
          <cell r="N53" t="str">
            <v>N/A</v>
          </cell>
          <cell r="O53" t="str">
            <v>B2 Setting Tool</v>
          </cell>
          <cell r="Q53" t="str">
            <v>N/A</v>
          </cell>
          <cell r="R53" t="str">
            <v>Amoco</v>
          </cell>
          <cell r="T53" t="str">
            <v>#1</v>
          </cell>
          <cell r="X53">
            <v>7.75</v>
          </cell>
          <cell r="Y53">
            <v>46.1</v>
          </cell>
          <cell r="AC53">
            <v>14000</v>
          </cell>
          <cell r="AD53">
            <v>18.5</v>
          </cell>
          <cell r="AE53" t="str">
            <v>WMB w/ high pH &amp; barite</v>
          </cell>
          <cell r="AG53">
            <v>325</v>
          </cell>
          <cell r="AJ53" t="str">
            <v>First preset  packer (89-40 Super FB-3 on 3 1/2 IF DP) preset due to mechanical or hydraulic conditions in well; 2nd packer preset due to hydraulic conditions in well; first B-2 disassembled &amp; found no problems; it was filled w/ mud, but no large</v>
          </cell>
          <cell r="AK53" t="str">
            <v xml:space="preserve">partcicles; 1st packer preset either hydraulic conditions or due combination of hard wall cake, trash, &amp; rigid hookup (long tailpipe) breaking slips to set packer; 1500 # force is required to break the slips, setting the packer.  2nd preset: B2 was </v>
          </cell>
          <cell r="AL53" t="str">
            <v>disassembled &amp; inspected; B2 had 3 cylinders, this time 11 annealed steel shear screw for increased initiation from 2024 to 3036 psi; also, ball catcher sub had an extra 1/2" hole drilled to permit less restricted mud flow thru B2; also, B2 sleeves were</v>
          </cell>
          <cell r="AM53" t="str">
            <v>filled w/ grease prior to leaving district.; Running speed this trip was approx 24 fpm; 3 factors shown to preset this 2nd packer: 1) heavy mud, 2) plug / bridge in tbg above B2, and 3) long tailpipe.  See "Amoco Morris Gas Unit #1 - Preset Packer Report"</v>
          </cell>
          <cell r="AN53" t="str">
            <v>by J King.</v>
          </cell>
          <cell r="AS53">
            <v>33</v>
          </cell>
          <cell r="AT53" t="str">
            <v>NAVIG / ENGINEERING DESIGN, DOC., ETC.</v>
          </cell>
          <cell r="AU53" t="str">
            <v>see nonconformance / performance section above</v>
          </cell>
          <cell r="AV53" t="str">
            <v>Small flow areas designed into tool when design change to sleeve in 1991, preventive proper equalization as RIH</v>
          </cell>
          <cell r="AX53" t="str">
            <v>R Prasad / J King</v>
          </cell>
          <cell r="AY53" t="str">
            <v>Fall 95, 1/2/97</v>
          </cell>
          <cell r="AZ53" t="str">
            <v>On location, production tubing was run without a packer, &amp; landed in a 30' PBR of the 3 1/2" liner hanger.  See "Amoco Morris Gas Unit #1 Preset Packer Report" - J King.</v>
          </cell>
          <cell r="BB53" t="str">
            <v>J King</v>
          </cell>
          <cell r="BC53" t="str">
            <v>Fall 95</v>
          </cell>
          <cell r="BD53" t="str">
            <v>Engineering has issued corrected dwg for sleeve opening up flow areas for proper pressure equalization as RIH.</v>
          </cell>
          <cell r="BG53" t="str">
            <v>R Prasad</v>
          </cell>
          <cell r="BH53">
            <v>35432</v>
          </cell>
          <cell r="BI53" t="str">
            <v>M Smith</v>
          </cell>
          <cell r="BJ53" t="str">
            <v>D Ingvardsen</v>
          </cell>
          <cell r="BK53" t="str">
            <v>J King R Prasad</v>
          </cell>
          <cell r="BL53" t="str">
            <v>Fall 95, 1/2/97</v>
          </cell>
        </row>
        <row r="54">
          <cell r="B54" t="str">
            <v>NAVIGATION PLANT</v>
          </cell>
          <cell r="D54">
            <v>4</v>
          </cell>
          <cell r="E54" t="str">
            <v>Packer Acc's (Set tools, seals, etc.)</v>
          </cell>
          <cell r="G54" t="str">
            <v>LB015147</v>
          </cell>
          <cell r="I54" t="str">
            <v>R Prasad / L Francis</v>
          </cell>
          <cell r="J54" t="str">
            <v>Broussard</v>
          </cell>
          <cell r="L54" t="str">
            <v>415-74</v>
          </cell>
          <cell r="M54" t="str">
            <v>02-96714-00</v>
          </cell>
          <cell r="N54" t="str">
            <v>N/A</v>
          </cell>
          <cell r="O54" t="str">
            <v>B2 Setting Tool; 3 cylinders - brass shear pins</v>
          </cell>
          <cell r="Q54" t="str">
            <v>N/A</v>
          </cell>
          <cell r="R54" t="str">
            <v>Chesepeake</v>
          </cell>
          <cell r="S54" t="str">
            <v>James Venable</v>
          </cell>
          <cell r="T54">
            <v>1</v>
          </cell>
          <cell r="X54">
            <v>9.625</v>
          </cell>
          <cell r="Y54">
            <v>53.5</v>
          </cell>
          <cell r="AC54">
            <v>5265</v>
          </cell>
          <cell r="AD54">
            <v>18.5</v>
          </cell>
          <cell r="AE54" t="str">
            <v>50-55 visc WBM</v>
          </cell>
          <cell r="AF54" t="str">
            <v>full</v>
          </cell>
          <cell r="AG54" t="str">
            <v>N/A</v>
          </cell>
          <cell r="AH54" t="str">
            <v>yes</v>
          </cell>
          <cell r="AI54">
            <v>35428</v>
          </cell>
          <cell r="AJ54" t="str">
            <v xml:space="preserve">1) 1st trip w/ 194-32 Model "D" Packer w/ B-2 Setting Tool preset so POOH w/ setting tool &amp; burnt over packer claiming that annulus fluid was low, poor mud conditions preset this packer.  Made bit &amp; scraper run to bottom (16500') but once on bottom could </v>
          </cell>
          <cell r="AK54" t="str">
            <v xml:space="preserve">not circulate due to heavy 20 ppg slugs on bottom (only need 14-15 ppg to kill well) 2) 2nd preset : as RIH slow 4.5 min/std; set down on slips easy at 5265' to mu std, pu few inches to get off slips &amp; try to lower into hole when started taking weight. </v>
          </cell>
          <cell r="AL54" t="str">
            <v xml:space="preserve">Dropped 1 7/16" ball to seat in J circ tool above B2 (slickline plug below packer) to close J tool to annulus to allow completion of packer set. Ball took 1.5 hr to fall 5200', Pressure to 2ksi, pull 35klb, bled to 0 pri, s/o 30klb, blew unloader sub, </v>
          </cell>
          <cell r="AM54" t="str">
            <v>screwed out of packer, POOH w/ B2, went to district, wrote BPR.  Note: open hole below, as starting 1st std in hole heard air / burping thus gas.</v>
          </cell>
          <cell r="AP54" t="str">
            <v>2 trips preset</v>
          </cell>
          <cell r="AS54">
            <v>33</v>
          </cell>
          <cell r="AT54" t="str">
            <v>NAVIG / ENGINEERING DESIGN, DOC., ETC.</v>
          </cell>
          <cell r="AU54" t="str">
            <v>ref BPRs 0027, 0051, 0052; heavy mud found plugging ports in second (&amp; possibly other) sleeve from top.</v>
          </cell>
          <cell r="AV54" t="str">
            <v>Small flow areas designed into tool when design change to sleeve in 1991, preventive proper equalization as RIH</v>
          </cell>
          <cell r="AX54" t="str">
            <v>R Prasad</v>
          </cell>
          <cell r="AY54">
            <v>35429</v>
          </cell>
          <cell r="AZ54" t="str">
            <v>ref BPRs 0027, 0051, 0052. Rerun on 1-cylinder B2 to maximize setting pressure &amp; minimize flow restrictions of annulus fluid for proper p equalization as RIH.</v>
          </cell>
          <cell r="BB54" t="str">
            <v>R Prasad</v>
          </cell>
          <cell r="BC54">
            <v>35432</v>
          </cell>
          <cell r="BD54" t="str">
            <v>Engineering has issued revised dwg for sleeve, opening up flow areas for proper pressure equalization as RIH. (1) drill top 4 ports of sleeve out to 0.5" dia, (2) turn down bottom end of sleeve (ref. revised dwg) for increased flow area.</v>
          </cell>
          <cell r="BG54" t="str">
            <v>R Prasad</v>
          </cell>
          <cell r="BH54">
            <v>35432</v>
          </cell>
          <cell r="BI54" t="str">
            <v>M Smith</v>
          </cell>
          <cell r="BJ54" t="str">
            <v>D Ingvardsen</v>
          </cell>
          <cell r="BK54" t="str">
            <v>R Prasad</v>
          </cell>
          <cell r="BL54">
            <v>35432</v>
          </cell>
        </row>
        <row r="55">
          <cell r="B55" t="str">
            <v>NAVIGATION PLANT</v>
          </cell>
          <cell r="D55">
            <v>4</v>
          </cell>
          <cell r="E55" t="str">
            <v>Packer Acc's (Set tools, seals, etc.)</v>
          </cell>
          <cell r="I55" t="str">
            <v>R Prasad / J Sherman</v>
          </cell>
          <cell r="J55" t="str">
            <v>Beaumont</v>
          </cell>
          <cell r="L55" t="str">
            <v>415-74</v>
          </cell>
          <cell r="M55" t="str">
            <v>02-96714-00</v>
          </cell>
          <cell r="N55" t="str">
            <v>N/A</v>
          </cell>
          <cell r="O55" t="str">
            <v>B2 Setting Tool; 3 cylinders - brass shear pins</v>
          </cell>
          <cell r="Q55" t="str">
            <v>N/A</v>
          </cell>
          <cell r="R55" t="str">
            <v>Blackstone Energy</v>
          </cell>
          <cell r="T55" t="str">
            <v>D-1</v>
          </cell>
          <cell r="X55">
            <v>7.625</v>
          </cell>
          <cell r="Y55">
            <v>39</v>
          </cell>
          <cell r="Z55">
            <v>5</v>
          </cell>
          <cell r="AA55">
            <v>23.2</v>
          </cell>
          <cell r="AB55" t="str">
            <v>past 14000</v>
          </cell>
          <cell r="AC55" t="str">
            <v>planned 14000</v>
          </cell>
          <cell r="AD55">
            <v>16</v>
          </cell>
          <cell r="AE55" t="str">
            <v>WBM</v>
          </cell>
          <cell r="AF55" t="str">
            <v>full</v>
          </cell>
          <cell r="AG55">
            <v>325</v>
          </cell>
          <cell r="AI55">
            <v>35421</v>
          </cell>
          <cell r="AJ55" t="str">
            <v>1) 1st trip w/ 89-40 FB-1, 30' SBE, conc coupling, 10' seal bore w/ tieback stem run after running liner &amp; preset at 4000'; RIH possibly not slow enough, &amp; poor mud conditions due to poor liner top mill-out procedures conducted prior to RIH.</v>
          </cell>
          <cell r="AK55" t="str">
            <v>2) 2nd trip preset at 2000' on same B2 since had adquate time to redress while milling over 1st pkr</v>
          </cell>
          <cell r="AL55" t="str">
            <v>possible cause for 2nd preset was that cold surface conditions (2am morning &amp; 17deg F temperature) allowed a frozen plug in the single laying in the v-door; this single was mu directly to B2 as RIH; (did not drift DP) as Temp increased, this plug may</v>
          </cell>
          <cell r="AM55" t="str">
            <v>have created the necessary differential pressure to stroke the B2.  3) 3rd trip made after bit &amp; scraper run &amp; mud dislacement to 2% KCL (8.4 ppg); this third packer set as desired depth.</v>
          </cell>
          <cell r="AN55" t="str">
            <v>No ball seat run in B2s nor was ball dropped; pressured against closed system (casing to bottom) to set packer</v>
          </cell>
          <cell r="AP55" t="str">
            <v>2 trips preset + milling of two packers (no $ adjustment requested from BOT by cust)</v>
          </cell>
          <cell r="AS55">
            <v>33</v>
          </cell>
          <cell r="AT55" t="str">
            <v>NAVIG / ENGINEERING DESIGN, DOC., ETC.</v>
          </cell>
          <cell r="AU55" t="str">
            <v>ref BPRs 0027, 0051, 0052, 0053</v>
          </cell>
          <cell r="AX55" t="str">
            <v>R Prasad</v>
          </cell>
          <cell r="AY55">
            <v>35429</v>
          </cell>
          <cell r="AZ55" t="str">
            <v>ref BPRs 0027, 0051, 0052, 0053; customer rep (drilling super) &amp; BOT dist mgr requesting BOT engr to allow drilling out ports of sleeves (and pistons if needed) to allow easier annulus to tbg pressure equalization across this tool as RIH.</v>
          </cell>
          <cell r="BB55" t="str">
            <v>R Prasad</v>
          </cell>
          <cell r="BC55">
            <v>35432</v>
          </cell>
          <cell r="BD55" t="str">
            <v>Engineering has issued corrected dwg for sleeve opening up flow areas for proper pressure equalization as RIH.</v>
          </cell>
          <cell r="BG55" t="str">
            <v>R Prasad</v>
          </cell>
          <cell r="BH55">
            <v>35432</v>
          </cell>
          <cell r="BI55" t="str">
            <v>M Smith</v>
          </cell>
          <cell r="BJ55" t="str">
            <v>D Ingvardsen</v>
          </cell>
          <cell r="BK55" t="str">
            <v>R Prasad</v>
          </cell>
          <cell r="BL55">
            <v>35432</v>
          </cell>
        </row>
        <row r="56">
          <cell r="B56" t="str">
            <v>BROKEN ARROW PLANT</v>
          </cell>
          <cell r="D56">
            <v>12</v>
          </cell>
          <cell r="E56" t="str">
            <v>SSS</v>
          </cell>
          <cell r="G56" t="str">
            <v>N/A</v>
          </cell>
          <cell r="I56" t="str">
            <v>R Prasad / F Rogers</v>
          </cell>
          <cell r="J56" t="str">
            <v>Broussard</v>
          </cell>
          <cell r="L56" t="str">
            <v>885-92</v>
          </cell>
          <cell r="M56" t="str">
            <v>885-92-1403</v>
          </cell>
          <cell r="O56" t="str">
            <v xml:space="preserve">Product Bulletin for Pneumatic Actuator Dia-flex w/ 14" Piston for 2, 2 1/2, 3" nominal size valve. . . </v>
          </cell>
          <cell r="Q56" t="str">
            <v>N/A</v>
          </cell>
          <cell r="R56" t="str">
            <v>N/A</v>
          </cell>
          <cell r="S56" t="str">
            <v>N/A</v>
          </cell>
          <cell r="T56" t="str">
            <v>N/A</v>
          </cell>
          <cell r="X56" t="str">
            <v>N/A</v>
          </cell>
          <cell r="Y56" t="str">
            <v>N/A</v>
          </cell>
          <cell r="Z56" t="str">
            <v>N/A</v>
          </cell>
          <cell r="AA56" t="str">
            <v>N/A</v>
          </cell>
          <cell r="AB56" t="str">
            <v>N/A</v>
          </cell>
          <cell r="AC56" t="str">
            <v>N/A</v>
          </cell>
          <cell r="AD56" t="str">
            <v>N/A</v>
          </cell>
          <cell r="AE56" t="str">
            <v>N/A</v>
          </cell>
          <cell r="AF56" t="str">
            <v>N/A</v>
          </cell>
          <cell r="AG56" t="str">
            <v>N/A</v>
          </cell>
          <cell r="AH56" t="str">
            <v>N/A</v>
          </cell>
          <cell r="AI56" t="str">
            <v>N/A</v>
          </cell>
          <cell r="AJ56" t="str">
            <v xml:space="preserve">Page 9 of 11 of this document states that the safety valve on the standard Diaflex actualtors is set to vent at 150 psi; yet the specifications list of this this document page 1 states that the safety head maximum w.p. is 165 psi; our safety valve is set </v>
          </cell>
          <cell r="AK56" t="str">
            <v>to vent at 165 psi. (2)  This same page lists "mOdel Number 885-92-143M is available w/ a 176 psi safety relief valve" but it should be 180 psi.</v>
          </cell>
          <cell r="AP56" t="str">
            <v>Discrepancy between product bulletin &amp; product - further risks involved.</v>
          </cell>
          <cell r="AS56">
            <v>84</v>
          </cell>
          <cell r="AT56" t="str">
            <v>B.A. / MKTG: TECH UNIT, PROTOTYPE INTRO., ETC.</v>
          </cell>
          <cell r="AZ56" t="str">
            <v>Submit BPR to BA for review of product bulletin &amp; / or safety valve in order to revise this document where necessary &amp; check other tech units for similar nonconformance &amp; correct where necessary.</v>
          </cell>
          <cell r="BI56" t="str">
            <v>R Early</v>
          </cell>
          <cell r="BJ56" t="str">
            <v>D Ott</v>
          </cell>
          <cell r="BK56" t="str">
            <v>awaiting cause, corrective action &amp; PA by BA</v>
          </cell>
        </row>
        <row r="57">
          <cell r="B57" t="str">
            <v>SALES / ORDER ENTRY</v>
          </cell>
          <cell r="D57">
            <v>3</v>
          </cell>
          <cell r="E57" t="str">
            <v>Packers</v>
          </cell>
          <cell r="G57" t="str">
            <v>N/A</v>
          </cell>
          <cell r="I57" t="str">
            <v>D McDonald</v>
          </cell>
          <cell r="J57" t="str">
            <v>Broussard</v>
          </cell>
          <cell r="L57" t="str">
            <v>421-01</v>
          </cell>
          <cell r="M57" t="str">
            <v>421-01-20QD</v>
          </cell>
          <cell r="N57" t="str">
            <v>N/A</v>
          </cell>
          <cell r="O57" t="str">
            <v>381-26, Model "HE" Retainer Production Packer</v>
          </cell>
          <cell r="Q57" t="str">
            <v>111328 2C</v>
          </cell>
          <cell r="R57" t="str">
            <v>Samedan</v>
          </cell>
          <cell r="S57" t="str">
            <v>Earl Wahrmund</v>
          </cell>
          <cell r="T57">
            <v>3</v>
          </cell>
          <cell r="X57">
            <v>7.625</v>
          </cell>
          <cell r="Y57">
            <v>39</v>
          </cell>
          <cell r="Z57">
            <v>5</v>
          </cell>
          <cell r="AA57">
            <v>23.2</v>
          </cell>
          <cell r="AB57" t="str">
            <v>N/A</v>
          </cell>
          <cell r="AC57" t="str">
            <v>N/A</v>
          </cell>
          <cell r="AD57" t="str">
            <v>N/A</v>
          </cell>
          <cell r="AE57" t="str">
            <v>N/A</v>
          </cell>
          <cell r="AF57" t="str">
            <v>N/A</v>
          </cell>
          <cell r="AG57" t="str">
            <v>N/A</v>
          </cell>
          <cell r="AH57" t="str">
            <v>N/A</v>
          </cell>
          <cell r="AI57" t="str">
            <v>N/A</v>
          </cell>
          <cell r="AJ57" t="str">
            <v xml:space="preserve">We ordered the a packer for 5" 18# casing per sales order but Casing is 5" 23.2#.  As this job has been set up for approx 1 month, Schlumberger called today  inquiring about a 5" 23# gage ring, informing us of correct casing size; </v>
          </cell>
          <cell r="AK57" t="str">
            <v>thus we are now setting up job with correct casing size, while rig awaits.</v>
          </cell>
          <cell r="AP57" t="str">
            <v>hotshot charge &amp; changeout of body</v>
          </cell>
          <cell r="AS57">
            <v>12</v>
          </cell>
          <cell r="AT57" t="str">
            <v>SALES / CONTRACT REVIEW</v>
          </cell>
          <cell r="AU57" t="str">
            <v>Miscommunicatoin between BOT sales rep &amp; customer.</v>
          </cell>
          <cell r="AX57" t="str">
            <v>D McDonald</v>
          </cell>
          <cell r="AY57">
            <v>35432</v>
          </cell>
          <cell r="AZ57" t="str">
            <v>At District: Hotshot 421-01-16QA from Corpus Christi &amp; chaneg BMS A101 body to BMS S210 body.  Copy Sales Rep on this report requesting completion of preventive action.</v>
          </cell>
          <cell r="BB57" t="str">
            <v>D MCDonald</v>
          </cell>
          <cell r="BC57">
            <v>35432</v>
          </cell>
          <cell r="BI57" t="str">
            <v>N/A</v>
          </cell>
          <cell r="BJ57" t="str">
            <v>N/A</v>
          </cell>
          <cell r="BK57" t="str">
            <v>awaiting final costs &amp; PA</v>
          </cell>
        </row>
        <row r="58">
          <cell r="B58" t="str">
            <v>DISTRICT</v>
          </cell>
          <cell r="D58">
            <v>4</v>
          </cell>
          <cell r="E58" t="str">
            <v>Packer Acc's (Set tools, seals, etc.)</v>
          </cell>
          <cell r="G58" t="str">
            <v>LB 014989 &amp; LB 015128</v>
          </cell>
          <cell r="I58" t="str">
            <v>D McDonald</v>
          </cell>
          <cell r="J58" t="str">
            <v>Broussard</v>
          </cell>
          <cell r="L58" t="str">
            <v>446-02</v>
          </cell>
          <cell r="M58" t="str">
            <v>446-02-71DG</v>
          </cell>
          <cell r="N58" t="str">
            <v>N/A</v>
          </cell>
          <cell r="O58" t="str">
            <v>80-32 Model L-36 LTSA</v>
          </cell>
          <cell r="Q58" t="str">
            <v>N/A</v>
          </cell>
          <cell r="R58" t="str">
            <v>Chesapeake</v>
          </cell>
          <cell r="S58" t="str">
            <v>Steve Henley</v>
          </cell>
          <cell r="T58">
            <v>1</v>
          </cell>
          <cell r="X58">
            <v>7.625</v>
          </cell>
          <cell r="Y58">
            <v>33.700000000000003</v>
          </cell>
          <cell r="Z58">
            <v>7</v>
          </cell>
          <cell r="AA58">
            <v>32</v>
          </cell>
          <cell r="AB58" t="str">
            <v>N/A</v>
          </cell>
          <cell r="AC58" t="str">
            <v>N/A</v>
          </cell>
          <cell r="AD58" t="str">
            <v>N/A</v>
          </cell>
          <cell r="AE58" t="str">
            <v>Poor</v>
          </cell>
          <cell r="AF58" t="str">
            <v>N/A</v>
          </cell>
          <cell r="AG58" t="str">
            <v>N/A</v>
          </cell>
          <cell r="AH58" t="str">
            <v>N/A</v>
          </cell>
          <cell r="AI58">
            <v>35396</v>
          </cell>
          <cell r="AJ58" t="str">
            <v>After well completion, customer entered well to retrieve plug.  After RIH w/ Coil tbg to remove the barite from above the plug via washing, the tbg string shortened due to temp chaneg &amp; seals came out of apcker.  Co rep then ran a collar locator log which</v>
          </cell>
          <cell r="AK58" t="str">
            <v>indicated that the seals were no l=more than two to four feet inside the packer, indicating incorrect spaceout at time of well completion.</v>
          </cell>
          <cell r="AL58" t="str">
            <v>TST: Mark Meier, Kilgore, TX; job log 116814, SST 014989, 014990; Tool report states spaced out w/ locator 1.27' above packer; dev 90 degrees; Walter Sanders = cust co rep</v>
          </cell>
          <cell r="AP58" t="str">
            <v>$4167.84 redress + seal assy + svc man time + mileage</v>
          </cell>
          <cell r="AQ58">
            <v>1037.8499999999999</v>
          </cell>
          <cell r="AS58">
            <v>56</v>
          </cell>
          <cell r="AT58" t="str">
            <v>DISTRICT / SERVICE DIFFICULTY / CARELESSNESS</v>
          </cell>
          <cell r="AU58" t="str">
            <v>Wrong spaceout</v>
          </cell>
          <cell r="AX58" t="str">
            <v>D McDonald</v>
          </cell>
          <cell r="AY58">
            <v>35432</v>
          </cell>
          <cell r="AZ58" t="str">
            <v>1) On location - moved in workover rig; pulled tbg string, redressed same &amp; re-ran in hole spacing out properly.  2) A space-out procedure has been distributed in-house to TSTs STSs &amp; Svc Mgr by Dist Mgr, listing space-out procedure.</v>
          </cell>
          <cell r="BA58" t="str">
            <v>1. Upon locating the seals, test the annulus, 2. Pickup 25% of the seal length &amp; test the annulus, 3.  Pickup 75% of the seal length &amp; again test the annulus.  This procedure would help ensure that the seals are all the way in the at spaceout.</v>
          </cell>
          <cell r="BB58" t="str">
            <v>D McDonald</v>
          </cell>
          <cell r="BC58">
            <v>35432</v>
          </cell>
          <cell r="BD58" t="str">
            <v>(for TST - please read recommended space-out procedure)</v>
          </cell>
          <cell r="BI58" t="str">
            <v>cc: M Smith</v>
          </cell>
          <cell r="BJ58" t="str">
            <v>N/A</v>
          </cell>
          <cell r="BK58" t="str">
            <v>awaiting PA by TST</v>
          </cell>
        </row>
        <row r="59">
          <cell r="B59" t="str">
            <v>SALES / ORDER ENTRY</v>
          </cell>
          <cell r="D59">
            <v>13</v>
          </cell>
          <cell r="E59" t="str">
            <v>Inflatables</v>
          </cell>
          <cell r="G59" t="str">
            <v>LB247117</v>
          </cell>
          <cell r="I59" t="str">
            <v>K Rudd / R Prasad</v>
          </cell>
          <cell r="J59" t="str">
            <v>Broussard</v>
          </cell>
          <cell r="L59" t="str">
            <v>301-37</v>
          </cell>
          <cell r="M59" t="str">
            <v>301-37-2004</v>
          </cell>
          <cell r="N59" t="str">
            <v>343FC</v>
          </cell>
          <cell r="O59" t="str">
            <v>3 1/2 9.2# L-80 20' Payzone Packer</v>
          </cell>
          <cell r="R59" t="str">
            <v>Amoco</v>
          </cell>
          <cell r="S59" t="str">
            <v>Terry Johnson</v>
          </cell>
          <cell r="T59" t="str">
            <v>B15 ST2</v>
          </cell>
          <cell r="X59">
            <v>7.625</v>
          </cell>
          <cell r="Y59">
            <v>33</v>
          </cell>
          <cell r="Z59">
            <v>3.5</v>
          </cell>
          <cell r="AA59">
            <v>9.1999999999999993</v>
          </cell>
          <cell r="AB59">
            <v>7825</v>
          </cell>
          <cell r="AC59">
            <v>7083</v>
          </cell>
          <cell r="AD59">
            <v>9</v>
          </cell>
          <cell r="AE59" t="str">
            <v>Good</v>
          </cell>
          <cell r="AF59" t="str">
            <v>full</v>
          </cell>
          <cell r="AG59">
            <v>175</v>
          </cell>
          <cell r="AI59">
            <v>35430</v>
          </cell>
          <cell r="AJ59" t="str">
            <v>Had leak downhole when attempting to inflate ECP using BOT Sand Control Bypass Tool + Seal Assy.  Brought tools into Sand Control district to be tested &amp; witnessed by BOT Inflates rep &amp; BOT Region engineer.  Both seal assembly sections tested good to 2ksi</v>
          </cell>
          <cell r="AK59" t="str">
            <v>Also, SC setting tool + crossover tool tested good to 5ksi.  Upon review of job log listing operation sequence on location by Sand Control Engineers + BOT Region Engineer, it has been concluded that possible leak paths  are drill pipe, casing, &amp; / or</v>
          </cell>
          <cell r="AL59" t="str">
            <v xml:space="preserve">76A2-40 SC-1R packer set above the ECP. </v>
          </cell>
          <cell r="AP59" t="str">
            <v>Could not inflate; cust will wait till later date to set this ECP; 1 day cause investig by Cade STS, Svc Mgr, Reg Engr, &amp; 2 BOT SC Engrs.</v>
          </cell>
          <cell r="AS59">
            <v>11</v>
          </cell>
          <cell r="AT59" t="str">
            <v>SALES  / PLANNING / SETTING UP JOB</v>
          </cell>
          <cell r="AU59" t="str">
            <v>Leak in BHA.  Upon discovering that after ECP failed to inflate due to leak in BHA, the concentric string was s/o'ed back to squeeze position (9') &amp; annulus tested showing possible SC-1R packer (element) leak.</v>
          </cell>
          <cell r="AV59" t="str">
            <v xml:space="preserve"> As this packer is rated for 33.7# to 39# csg it was set in the lightest weight of its range, in CaCO3 (unusual), possibly preventing a complete set (prevention of full stroke).</v>
          </cell>
          <cell r="AW59" t="str">
            <v>Per D Cole FIRST detail, the packer was set in 83 degree deviation; it appears that the CaCO3 may have settled on the low side where the packer was set; the HCl acid, when pumped on the backside, may have removed the CaCO3 causing the packer to leak.</v>
          </cell>
          <cell r="AX59" t="str">
            <v>D Cole, R Westfahl, R Prasad</v>
          </cell>
          <cell r="AY59" t="str">
            <v>1/7/97; 1/9/97</v>
          </cell>
          <cell r="AZ59" t="str">
            <v>Sand Control (Denzil Cole - 234-7226) to return call w/ tool details (when tools arrive at Sand Control, K Rudd / R Prasad / appointees to witness tear down / troubleshooting at Sand Control-done.  Submit BPR for review by Cade Svc Mgr &amp; BOT Sales rep</v>
          </cell>
          <cell r="BA59" t="str">
            <v xml:space="preserve"> to determine if cust has tested this packer prior to setting the one above it.  Also determine why it was set here in CaCO3, when another was subsequently set just above it, in effort to determine risk of packer leak preventing proper inflation of ECP.</v>
          </cell>
          <cell r="BB59" t="str">
            <v>D Cole, R Prasad</v>
          </cell>
          <cell r="BC59">
            <v>35437</v>
          </cell>
          <cell r="BD59" t="str">
            <v xml:space="preserve">D Cole has recommended, per FIRST detail, to ensure casing is as clean as possible prior to setting any packer in it; this info to be added to standard procedures for packers set in deviated wells where deposit - forming </v>
          </cell>
          <cell r="BG59" t="str">
            <v>D Cole; R Prasad</v>
          </cell>
          <cell r="BH59" t="str">
            <v>1/9/97; 1/15/97</v>
          </cell>
          <cell r="BI59" t="str">
            <v>cc: M Plante</v>
          </cell>
          <cell r="BJ59" t="str">
            <v>cc: P Stone</v>
          </cell>
          <cell r="BK59" t="str">
            <v>awaiting communic to BOT sales &amp; operations reps involved w/ setting up jobs / recommending procs to cust</v>
          </cell>
        </row>
        <row r="60">
          <cell r="B60" t="str">
            <v>EMMOTT RD PLANT</v>
          </cell>
          <cell r="D60">
            <v>9</v>
          </cell>
          <cell r="E60" t="str">
            <v>Liner Hangers</v>
          </cell>
          <cell r="I60" t="str">
            <v>J Solari / R Prasad</v>
          </cell>
          <cell r="J60" t="str">
            <v>Broussard</v>
          </cell>
          <cell r="L60" t="str">
            <v>299-89</v>
          </cell>
          <cell r="M60" t="str">
            <v>299-89-1531</v>
          </cell>
          <cell r="O60" t="str">
            <v>Bushing Brown Type XO 7.625 8 RL Box x 7.625 33.7# Hydril SLX x 8.25 OD, 6.685 ID, 4140 HT</v>
          </cell>
          <cell r="R60" t="str">
            <v>Norcen Exploration</v>
          </cell>
          <cell r="S60" t="str">
            <v>N/A</v>
          </cell>
          <cell r="T60">
            <v>3</v>
          </cell>
          <cell r="X60">
            <v>9.625</v>
          </cell>
          <cell r="Y60">
            <v>53.5</v>
          </cell>
          <cell r="Z60">
            <v>7.625</v>
          </cell>
          <cell r="AA60">
            <v>33.700000000000003</v>
          </cell>
          <cell r="AB60">
            <v>12379</v>
          </cell>
          <cell r="AC60">
            <v>12089</v>
          </cell>
          <cell r="AD60">
            <v>14.3</v>
          </cell>
          <cell r="AE60" t="str">
            <v>good</v>
          </cell>
          <cell r="AF60" t="str">
            <v>N/A</v>
          </cell>
          <cell r="AG60">
            <v>232</v>
          </cell>
          <cell r="AH60" t="str">
            <v>no</v>
          </cell>
          <cell r="AI60">
            <v>35435</v>
          </cell>
          <cell r="AJ60" t="str">
            <v xml:space="preserve">Above listed Crossover was ordered on 7/8/96 by J Solari.  XO received 8/8/96 w/ above info printed on label bu the XO threads did not meet order specfications.  The one received had 7 5/8 Vam box x 7 5/8 33.7 STL pin. The picking slip and label stuck to </v>
          </cell>
          <cell r="AK60" t="str">
            <v>the xo have the data as ordered, but the product does not have the specified threads.  (1) This xo was mislabelled, &amp; (2) The nonconforming xo (wrong threads) was shipped to our district.</v>
          </cell>
          <cell r="AL60" t="str">
            <v>This problem was found on location, when getting ready to mu xo to hanger.  Per TSTs report, upon arriving at rig, crew was rigging up; we ran csg from work boat &amp; tool basket was unloader after csg was being run.  Between runing the liner &amp; getting w/ co</v>
          </cell>
          <cell r="AM60" t="str">
            <v>man about info &amp; pipe figures, didn't catch that the xo had the worng box thread until the liner was in the hole. We had to pooh w/ liner to test stack &amp; make wiper trip prior to RIH again w/ proper xo.</v>
          </cell>
          <cell r="AP60" t="str">
            <v>Approx 36 hrs until liner in hole again; also, another BOT district might have our (Cade's) correct xo since mix-up at plant.</v>
          </cell>
          <cell r="AS60">
            <v>75</v>
          </cell>
          <cell r="AT60" t="str">
            <v>EMMOTT / MFG, ASSY, &amp;/OR TESTING</v>
          </cell>
          <cell r="AU60" t="str">
            <v xml:space="preserve">1) Per R Guillory email dtd 1/9/97, the xo bushings that were made for Borussard were mistagged &amp; sent to Belle Chase &amp; Broussard received the Belle Chase bushings.  All 4 bushings were tagged out at the same </v>
          </cell>
          <cell r="AV60" t="str">
            <v xml:space="preserve">time &amp; the inspector inadvertently placed the tags in reverse order. 2) xo bushing was not inspected at district prior to sending to location (due to no std proc nor thd dwgs in place)  3) xo was not inspected upon tool &amp; TST arrival on location (due to </v>
          </cell>
          <cell r="AW60" t="str">
            <v>tools being on boat while running csg)</v>
          </cell>
          <cell r="AX60" t="str">
            <v>R Guillory / R Prasad</v>
          </cell>
          <cell r="AY60">
            <v>35439</v>
          </cell>
          <cell r="AZ60" t="str">
            <v>Request from Emmott a search of the  xo's that were ordered (AS400 shows Harvey to have two) &amp; correct them as well.  Also request Emmott's completion of preventive action below.  Per R Guillory email dtd 1/7/97, Belle Chase &amp;</v>
          </cell>
          <cell r="BA60" t="str">
            <v xml:space="preserve">   Broussard have been made aware of this so that the bushings can be exchanged.  On location, made wiper trip &amp; received correct xo from shop &amp; rih w/ proper xo.</v>
          </cell>
          <cell r="BB60" t="str">
            <v>R Prasad</v>
          </cell>
          <cell r="BC60">
            <v>35437</v>
          </cell>
          <cell r="BD60" t="str">
            <v>1) Per R Guillory email dtd 1/7/97, the inspector that created the error was the one that researched and discovered his error; he is highly competent @ his job; procedures are in place to prevent this but this was human error which he is aware of &amp; will</v>
          </cell>
          <cell r="BF60" t="str">
            <v>upon arriving on location by making up the xo to the hanger, etc. This info to be forwarded to all liner TSTs / STSs for immediate compliance.</v>
          </cell>
          <cell r="BG60" t="str">
            <v>R Prasad</v>
          </cell>
          <cell r="BH60">
            <v>35439</v>
          </cell>
          <cell r="BI60" t="str">
            <v>cc: B Cowart</v>
          </cell>
          <cell r="BJ60" t="str">
            <v>R Guillory</v>
          </cell>
          <cell r="BK60" t="str">
            <v>R Prasad</v>
          </cell>
          <cell r="BL60">
            <v>35439</v>
          </cell>
        </row>
        <row r="61">
          <cell r="B61">
            <v>0</v>
          </cell>
          <cell r="D61">
            <v>7</v>
          </cell>
          <cell r="E61" t="str">
            <v>R &amp; S</v>
          </cell>
          <cell r="G61" t="str">
            <v>(Sand Control)</v>
          </cell>
          <cell r="I61" t="str">
            <v>N Qaisieh</v>
          </cell>
          <cell r="J61" t="str">
            <v>Broussard</v>
          </cell>
          <cell r="L61" t="str">
            <v>407-14</v>
          </cell>
          <cell r="M61" t="str">
            <v>407-14-4761, 07-58433-00</v>
          </cell>
          <cell r="N61" t="str">
            <v>764-887</v>
          </cell>
          <cell r="O61" t="str">
            <v>47D2 Model "J" Retrievamatic Cementer / J lug sub</v>
          </cell>
          <cell r="Q61" t="str">
            <v>N/A</v>
          </cell>
          <cell r="R61" t="str">
            <v>Vastar Resources</v>
          </cell>
          <cell r="S61" t="str">
            <v>Todd Viator</v>
          </cell>
          <cell r="T61" t="str">
            <v>H-5</v>
          </cell>
          <cell r="X61">
            <v>7.625</v>
          </cell>
          <cell r="Y61">
            <v>29.7</v>
          </cell>
          <cell r="Z61" t="str">
            <v>N/A</v>
          </cell>
          <cell r="AA61" t="str">
            <v>N/A</v>
          </cell>
          <cell r="AB61">
            <v>9060</v>
          </cell>
          <cell r="AC61" t="str">
            <v>N/A</v>
          </cell>
          <cell r="AD61">
            <v>9.3000000000000007</v>
          </cell>
          <cell r="AG61">
            <v>200</v>
          </cell>
          <cell r="AI61">
            <v>35430</v>
          </cell>
          <cell r="AJ61" t="str">
            <v xml:space="preserve">Per Sand Control report, unable to lower packer in the well deeper than 810 ft; when packer was POOH the 2nd trial, all the Jlugs were broken off.  </v>
          </cell>
          <cell r="AT61">
            <v>0</v>
          </cell>
          <cell r="AZ61" t="str">
            <v>When brought into BOT district, found that J slot sub had sheared; lugs are intact.; Slips and drag blocks checked in shop - correct comm #'s; per Sand Control FIRST alert report, send this sub to Navig for metallurgical testing to determine failure cause</v>
          </cell>
          <cell r="BA61" t="str">
            <v>&amp; preventive action.</v>
          </cell>
          <cell r="BB61" t="str">
            <v>R Prasad</v>
          </cell>
          <cell r="BC61">
            <v>35437</v>
          </cell>
          <cell r="BI61" t="str">
            <v>cc: J Knippa</v>
          </cell>
          <cell r="BJ61" t="str">
            <v>D Ingvardsen</v>
          </cell>
          <cell r="BK61" t="str">
            <v>awaiting cause &amp; PA by Navig</v>
          </cell>
        </row>
        <row r="62">
          <cell r="B62">
            <v>0</v>
          </cell>
          <cell r="D62">
            <v>7</v>
          </cell>
          <cell r="E62" t="str">
            <v>R &amp; S</v>
          </cell>
          <cell r="G62" t="str">
            <v>(Sand Control)</v>
          </cell>
          <cell r="I62" t="str">
            <v>N Qaisieh</v>
          </cell>
          <cell r="J62" t="str">
            <v>Broussard</v>
          </cell>
          <cell r="L62" t="str">
            <v>407-14</v>
          </cell>
          <cell r="M62" t="str">
            <v>407-14-4761</v>
          </cell>
          <cell r="N62" t="str">
            <v>763-660</v>
          </cell>
          <cell r="O62" t="str">
            <v>47D2 Model "J" Retrievamatic Cementer</v>
          </cell>
          <cell r="Q62" t="str">
            <v>N/A</v>
          </cell>
          <cell r="R62" t="str">
            <v>Newfield Exploration</v>
          </cell>
          <cell r="S62" t="str">
            <v>Mark Hauberet</v>
          </cell>
          <cell r="T62" t="str">
            <v>A-23</v>
          </cell>
          <cell r="X62">
            <v>7.625</v>
          </cell>
          <cell r="Y62">
            <v>29.7</v>
          </cell>
          <cell r="Z62" t="str">
            <v>N/A</v>
          </cell>
          <cell r="AA62" t="str">
            <v>N/A</v>
          </cell>
          <cell r="AB62">
            <v>7262</v>
          </cell>
          <cell r="AC62" t="str">
            <v>N/A</v>
          </cell>
          <cell r="AD62">
            <v>11.6</v>
          </cell>
          <cell r="AG62">
            <v>145</v>
          </cell>
          <cell r="AI62">
            <v>35434</v>
          </cell>
          <cell r="AJ62" t="str">
            <v>Per Sand Control report, unable to lower packer in well deeper than 480 ft (approx 6 stds), the same occurred for two 47D2 Model "J" Retrievamatic packers on the upper zone.</v>
          </cell>
          <cell r="AT62">
            <v>0</v>
          </cell>
          <cell r="AZ62" t="str">
            <v>When brought into BOT district, found parts intact; slips &amp; drag blocks correct comm #s</v>
          </cell>
          <cell r="BK62" t="str">
            <v>awaiting cause &amp; PA by BOT R &amp; S</v>
          </cell>
        </row>
        <row r="63">
          <cell r="B63" t="str">
            <v>MISC. / REGION ENGINEERING</v>
          </cell>
          <cell r="D63">
            <v>7</v>
          </cell>
          <cell r="E63" t="str">
            <v>R &amp; S</v>
          </cell>
          <cell r="G63" t="str">
            <v>LB 015060-014863-015061</v>
          </cell>
          <cell r="I63" t="str">
            <v>L Veronie / R Prasad</v>
          </cell>
          <cell r="J63" t="str">
            <v>Broussard</v>
          </cell>
          <cell r="L63" t="str">
            <v>677-01</v>
          </cell>
          <cell r="M63" t="str">
            <v>677-01-7220</v>
          </cell>
          <cell r="N63" t="str">
            <v>N/A</v>
          </cell>
          <cell r="O63" t="str">
            <v>51 A Mod "C" Csg Wiper Tool</v>
          </cell>
          <cell r="Q63" t="str">
            <v>(district)</v>
          </cell>
          <cell r="R63" t="str">
            <v>Chevron USA</v>
          </cell>
          <cell r="S63" t="str">
            <v>Slim Meitzier</v>
          </cell>
          <cell r="T63" t="str">
            <v>C-14</v>
          </cell>
          <cell r="X63">
            <v>9.625</v>
          </cell>
          <cell r="Y63">
            <v>53.5</v>
          </cell>
          <cell r="Z63">
            <v>7</v>
          </cell>
          <cell r="AA63">
            <v>29</v>
          </cell>
          <cell r="AC63">
            <v>5823</v>
          </cell>
          <cell r="AD63">
            <v>8.6999999999999993</v>
          </cell>
          <cell r="AE63" t="str">
            <v>saltwater</v>
          </cell>
          <cell r="AF63" t="str">
            <v>full</v>
          </cell>
          <cell r="AG63">
            <v>140</v>
          </cell>
          <cell r="AI63">
            <v>35429</v>
          </cell>
          <cell r="AJ63" t="str">
            <v xml:space="preserve">Went in hole w/ 47B Mod C Casing wiper tool on 3.5" IF drillpipe &amp; 2 3/8 Mod P-1 Unloader sub.  Entered liner top @ 5823' &amp; tool stopped @ 5831'; tried circulating down drillpipe at 3 bpm.  While working drillpipe  w/ 10000lb wt on tool, tried to reverse </v>
          </cell>
          <cell r="AK63" t="str">
            <v>circ w/ 10000# wt on tool; tried spudding w/ 20000# wt on tool; could not get any deeper; POOH; picked up 6" bit &amp; drill collars &amp; went back in hole to try to shove cups to bottom w/ 25000# wt on both (left both wiper cups inside liner at 5831'.</v>
          </cell>
          <cell r="AS63">
            <v>61</v>
          </cell>
          <cell r="AT63" t="str">
            <v>OTHER: TRAINING, ETC.</v>
          </cell>
          <cell r="AU63" t="str">
            <v>The coupling, which holds parts together, was removed from this tool prior to RIH due to either (1) assumption by TST that parts are held together by snap ring, and / or (2) lack of tool knowledge obtained prior to running this tool.</v>
          </cell>
          <cell r="AX63" t="str">
            <v>R Prasad / J Schwegmann / L Francis</v>
          </cell>
          <cell r="AY63">
            <v>35437</v>
          </cell>
          <cell r="AZ63" t="str">
            <v xml:space="preserve">Per Job log 126256: 12/31/96, On location, ordered junk mill from BOT fishing in New Iberia; 1/1/97: Went in hole w/ mill &amp; milled over &amp; went to bottom at 7430', circulated out &amp; pooh; 1/2/97: ran 47B circ washer to PBD. POOH.  </v>
          </cell>
          <cell r="BA63" t="str">
            <v>Further info obtained by J Craig 1/8/97: As corrective action, another trip was run, this time w/ a 47 Model C Cup Type Wiper Tool.  Job log info to be confirmed / revised by TST.</v>
          </cell>
          <cell r="BB63" t="str">
            <v>L Veronie, J Craig</v>
          </cell>
          <cell r="BC63" t="str">
            <v>1/7/97, 1/8/97</v>
          </cell>
          <cell r="BD63" t="str">
            <v>Dual responsibility by TST &amp; Region Engineering: (1) TST making assumptions versus requesting further tool information will not be accepted. (All TSTs to be notified)  (2) When Region</v>
          </cell>
          <cell r="BF63" t="str">
            <v>use of this tool)</v>
          </cell>
          <cell r="BG63" t="str">
            <v>J Schwegmann</v>
          </cell>
          <cell r="BH63">
            <v>35437</v>
          </cell>
          <cell r="BI63" t="str">
            <v>cc: J Knippa</v>
          </cell>
          <cell r="BJ63" t="str">
            <v>cc: P Stone</v>
          </cell>
          <cell r="BK63" t="str">
            <v>awaiting completion of corrective action &amp; preventive action</v>
          </cell>
        </row>
        <row r="64">
          <cell r="B64" t="str">
            <v>MISC. / REGION ENGINEERING</v>
          </cell>
          <cell r="D64">
            <v>9</v>
          </cell>
          <cell r="E64" t="str">
            <v>Liner Hangers</v>
          </cell>
          <cell r="G64" t="str">
            <v>LB 014799</v>
          </cell>
          <cell r="I64" t="str">
            <v>H Melville / R Prasad</v>
          </cell>
          <cell r="J64" t="str">
            <v>Broussard</v>
          </cell>
          <cell r="L64" t="str">
            <v>270-20</v>
          </cell>
          <cell r="M64" t="str">
            <v>270-20-0058</v>
          </cell>
          <cell r="N64" t="str">
            <v>N/A</v>
          </cell>
          <cell r="O64" t="str">
            <v>5.130 OD find x 2.250 OD nose Nitrile rubber w/ phenolic insert pump down plug</v>
          </cell>
          <cell r="Q64" t="str">
            <v>N/A</v>
          </cell>
          <cell r="R64" t="str">
            <v>Texaco E &amp; P</v>
          </cell>
          <cell r="S64" t="str">
            <v>Keith Doucet</v>
          </cell>
          <cell r="T64" t="str">
            <v>#2 S/T</v>
          </cell>
          <cell r="X64">
            <v>9.625</v>
          </cell>
          <cell r="Y64">
            <v>53.5</v>
          </cell>
          <cell r="Z64">
            <v>7.625</v>
          </cell>
          <cell r="AA64">
            <v>39</v>
          </cell>
          <cell r="AB64" t="str">
            <v>9 5/8 shoe @ 13993</v>
          </cell>
          <cell r="AC64" t="str">
            <v>N/A</v>
          </cell>
          <cell r="AD64">
            <v>12.8</v>
          </cell>
          <cell r="AE64" t="str">
            <v>good</v>
          </cell>
          <cell r="AF64" t="str">
            <v>full</v>
          </cell>
          <cell r="AG64">
            <v>280</v>
          </cell>
          <cell r="AH64" t="str">
            <v>no</v>
          </cell>
          <cell r="AI64">
            <v>35437</v>
          </cell>
          <cell r="AJ64" t="str">
            <v>Run Davis Lynch auto-fill shoe, 1 jt 7 5/8 liner, davis lynch auto fill float collar w/ 1 1/8" ball in place, 1 jt 7 5/8" liner, &amp; PT-2 landing collar w/ ball seat &amp; ball catcher plate.  MU hyd flexlok l hgr w/ ZXP pkr after running liner.  Run in on 5"</v>
          </cell>
          <cell r="AK64" t="str">
            <v>DP to TD, circ B/U, drop 1 3/4" bronze ball &amp; set hgr.  Release from liner.  Pump spacer &amp; cmt; drop plug (TD head) &amp; saw flag move 1/2".  Pump til 20 bbl before plug latches; slow down rate to 1 1/2 bbl/min for 25 bbls; dod not sett any pressure increase</v>
          </cell>
          <cell r="AL64" t="str">
            <v xml:space="preserve">Pump rest of displacement at 4bpm; plugs did not bump; pumped total of calculated displacement of DP and liner to LC.  PU &amp; set ZXP pkr.  Reverse out above liner top 1 1/2 DP capacity.  Pump slug &amp; pull landing string. Rig down cmt head stand &amp; load in </v>
          </cell>
          <cell r="AM64" t="str">
            <v>basket.  POOH.  Liner wiper plug still on bottom of 2RH setting tool. Tools in 1/10/97 @ shop; lwp is still on end of stinger, no pdp latched into it, nor in TD head which has clip still in it.</v>
          </cell>
          <cell r="AS64">
            <v>61</v>
          </cell>
          <cell r="AT64" t="str">
            <v>OTHER: TRAINING, ETC.</v>
          </cell>
          <cell r="AU64" t="str">
            <v>Definite cause unknown</v>
          </cell>
          <cell r="AX64" t="str">
            <v>R Prasad</v>
          </cell>
          <cell r="AY64">
            <v>35440</v>
          </cell>
          <cell r="AZ64" t="str">
            <v>Upon arrival of running assy at shop, tear down w/ region engr to determine dart location if in running assy &amp; check TD head for clip; TST in 1/9/97; tools not in yet 1/9/97.</v>
          </cell>
          <cell r="BA64" t="str">
            <v>Dart not found in Running tool string nor in TD head which has clip in place.  Keep this BPR on file; similar past occurrences heard of (Victoria, etc.) but documentation not found. (Spoke to R Frisby, T Talbot, K Trahan.)</v>
          </cell>
          <cell r="BB64" t="str">
            <v>R Prasad</v>
          </cell>
          <cell r="BC64">
            <v>35440</v>
          </cell>
          <cell r="BD64" t="str">
            <v>N/A as of 1/10/97; keep BPR record for cause investig if recurrence occurs.</v>
          </cell>
          <cell r="BG64" t="str">
            <v>R Prasad</v>
          </cell>
          <cell r="BH64">
            <v>35440</v>
          </cell>
          <cell r="BI64" t="str">
            <v>cc: B Cowart</v>
          </cell>
          <cell r="BJ64" t="str">
            <v>cc: P Stone</v>
          </cell>
          <cell r="BK64" t="str">
            <v>R Prasad</v>
          </cell>
          <cell r="BL64">
            <v>35444</v>
          </cell>
        </row>
        <row r="65">
          <cell r="B65">
            <v>0</v>
          </cell>
          <cell r="E65">
            <v>0</v>
          </cell>
          <cell r="AT65">
            <v>0</v>
          </cell>
        </row>
        <row r="66">
          <cell r="B66">
            <v>0</v>
          </cell>
          <cell r="E66">
            <v>0</v>
          </cell>
          <cell r="AT66">
            <v>0</v>
          </cell>
        </row>
        <row r="67">
          <cell r="B67">
            <v>0</v>
          </cell>
          <cell r="E67">
            <v>0</v>
          </cell>
          <cell r="AT67">
            <v>0</v>
          </cell>
        </row>
        <row r="68">
          <cell r="E68">
            <v>0</v>
          </cell>
        </row>
        <row r="69">
          <cell r="E69">
            <v>0</v>
          </cell>
        </row>
        <row r="70">
          <cell r="E70">
            <v>0</v>
          </cell>
        </row>
        <row r="71">
          <cell r="E71">
            <v>0</v>
          </cell>
        </row>
        <row r="72">
          <cell r="E72">
            <v>0</v>
          </cell>
        </row>
        <row r="73">
          <cell r="E73">
            <v>0</v>
          </cell>
        </row>
        <row r="74">
          <cell r="E74">
            <v>0</v>
          </cell>
        </row>
        <row r="75">
          <cell r="E75">
            <v>0</v>
          </cell>
        </row>
        <row r="76">
          <cell r="E76">
            <v>0</v>
          </cell>
        </row>
        <row r="77">
          <cell r="E77">
            <v>0</v>
          </cell>
        </row>
        <row r="78">
          <cell r="E78">
            <v>0</v>
          </cell>
        </row>
        <row r="79">
          <cell r="E79">
            <v>0</v>
          </cell>
        </row>
        <row r="80">
          <cell r="E80">
            <v>0</v>
          </cell>
        </row>
        <row r="81">
          <cell r="E81">
            <v>0</v>
          </cell>
        </row>
        <row r="82">
          <cell r="E82">
            <v>0</v>
          </cell>
        </row>
        <row r="83">
          <cell r="E83">
            <v>0</v>
          </cell>
        </row>
        <row r="84">
          <cell r="E84">
            <v>0</v>
          </cell>
        </row>
        <row r="85">
          <cell r="E85">
            <v>0</v>
          </cell>
        </row>
        <row r="86">
          <cell r="E86">
            <v>0</v>
          </cell>
        </row>
        <row r="87">
          <cell r="E87">
            <v>0</v>
          </cell>
        </row>
        <row r="88">
          <cell r="E88">
            <v>0</v>
          </cell>
        </row>
        <row r="89">
          <cell r="E89">
            <v>0</v>
          </cell>
        </row>
        <row r="90">
          <cell r="E90">
            <v>0</v>
          </cell>
        </row>
        <row r="91">
          <cell r="E91">
            <v>0</v>
          </cell>
        </row>
        <row r="92">
          <cell r="E92">
            <v>0</v>
          </cell>
        </row>
        <row r="93">
          <cell r="E93">
            <v>0</v>
          </cell>
        </row>
        <row r="94">
          <cell r="E94">
            <v>0</v>
          </cell>
        </row>
        <row r="95">
          <cell r="E95">
            <v>0</v>
          </cell>
        </row>
        <row r="96">
          <cell r="E96">
            <v>0</v>
          </cell>
        </row>
        <row r="97">
          <cell r="E97">
            <v>0</v>
          </cell>
        </row>
        <row r="98">
          <cell r="E98">
            <v>0</v>
          </cell>
        </row>
        <row r="99">
          <cell r="E99">
            <v>0</v>
          </cell>
        </row>
        <row r="100">
          <cell r="E100">
            <v>0</v>
          </cell>
        </row>
        <row r="101">
          <cell r="E101">
            <v>0</v>
          </cell>
        </row>
        <row r="102">
          <cell r="E102">
            <v>0</v>
          </cell>
        </row>
        <row r="103">
          <cell r="E103">
            <v>0</v>
          </cell>
        </row>
        <row r="104">
          <cell r="E104">
            <v>0</v>
          </cell>
        </row>
        <row r="105">
          <cell r="E105">
            <v>0</v>
          </cell>
        </row>
        <row r="106">
          <cell r="E106">
            <v>0</v>
          </cell>
        </row>
        <row r="107">
          <cell r="E107">
            <v>0</v>
          </cell>
        </row>
        <row r="108">
          <cell r="E108">
            <v>0</v>
          </cell>
        </row>
        <row r="109">
          <cell r="E109">
            <v>0</v>
          </cell>
        </row>
        <row r="110">
          <cell r="E110">
            <v>0</v>
          </cell>
        </row>
        <row r="111">
          <cell r="E111">
            <v>0</v>
          </cell>
        </row>
        <row r="112">
          <cell r="E112">
            <v>0</v>
          </cell>
        </row>
        <row r="113">
          <cell r="E113">
            <v>0</v>
          </cell>
        </row>
        <row r="114">
          <cell r="E114">
            <v>0</v>
          </cell>
        </row>
        <row r="115">
          <cell r="E115">
            <v>0</v>
          </cell>
        </row>
        <row r="116">
          <cell r="E116">
            <v>0</v>
          </cell>
        </row>
        <row r="117">
          <cell r="E117">
            <v>0</v>
          </cell>
        </row>
        <row r="118">
          <cell r="E118">
            <v>0</v>
          </cell>
        </row>
        <row r="119">
          <cell r="E119">
            <v>0</v>
          </cell>
        </row>
        <row r="120">
          <cell r="E120">
            <v>0</v>
          </cell>
        </row>
        <row r="121">
          <cell r="E121">
            <v>0</v>
          </cell>
        </row>
        <row r="122">
          <cell r="E122">
            <v>0</v>
          </cell>
        </row>
        <row r="123">
          <cell r="E123">
            <v>0</v>
          </cell>
        </row>
        <row r="124">
          <cell r="E124">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_Survey-Data"/>
      <sheetName val="Cover-Sheet"/>
      <sheetName val="RIH_Grad"/>
      <sheetName val="POH_Grad"/>
      <sheetName val="POH_Grad_org"/>
      <sheetName val="Plot_Test-History"/>
      <sheetName val="Events_1"/>
      <sheetName val="Events_2"/>
      <sheetName val="WBD"/>
      <sheetName val="Img_Pg1"/>
      <sheetName val="Img_Pg2"/>
      <sheetName val="Img_Pg3"/>
      <sheetName val="Plot_PvsT"/>
      <sheetName val="Plot_MDH"/>
      <sheetName val="Plot_Horner"/>
      <sheetName val="Plot_log-log"/>
      <sheetName val="Print Hi-Low_Grad"/>
      <sheetName val="Plot_Hi-low_Grad"/>
      <sheetName val="Import Hi-low Grad Data"/>
      <sheetName val="MD-TVD"/>
      <sheetName val="Import RIH Grad Data"/>
      <sheetName val="Import POH Grad Data"/>
      <sheetName val="Import_BU-Data"/>
      <sheetName val="Import-BHP-Data"/>
      <sheetName val="Sheet1"/>
      <sheetName val="Sheet2"/>
    </sheetNames>
    <sheetDataSet>
      <sheetData sheetId="0">
        <row r="8">
          <cell r="T8" t="str">
            <v>Producing</v>
          </cell>
          <cell r="U8" t="str">
            <v>THF</v>
          </cell>
          <cell r="V8" t="str">
            <v>2/64</v>
          </cell>
        </row>
        <row r="9">
          <cell r="T9" t="str">
            <v>Shut-in</v>
          </cell>
          <cell r="U9" t="str">
            <v>Ground</v>
          </cell>
          <cell r="V9" t="str">
            <v>3/64</v>
          </cell>
        </row>
        <row r="10">
          <cell r="T10" t="str">
            <v>Injection</v>
          </cell>
          <cell r="U10" t="str">
            <v>RKB</v>
          </cell>
          <cell r="V10" t="str">
            <v>4/64</v>
          </cell>
        </row>
        <row r="11">
          <cell r="V11" t="str">
            <v>5/64</v>
          </cell>
        </row>
        <row r="12">
          <cell r="V12" t="str">
            <v>6/64</v>
          </cell>
        </row>
        <row r="13">
          <cell r="V13" t="str">
            <v>7/64</v>
          </cell>
          <cell r="W13" t="str">
            <v xml:space="preserve">Static Gradients - </v>
          </cell>
        </row>
        <row r="14">
          <cell r="V14" t="str">
            <v>8/64</v>
          </cell>
          <cell r="W14" t="str">
            <v xml:space="preserve">Flowing Gradients - </v>
          </cell>
        </row>
        <row r="15">
          <cell r="V15" t="str">
            <v>9/64</v>
          </cell>
        </row>
        <row r="16">
          <cell r="V16" t="str">
            <v>10/64</v>
          </cell>
        </row>
        <row r="17">
          <cell r="V17" t="str">
            <v>11/64</v>
          </cell>
        </row>
        <row r="18">
          <cell r="V18" t="str">
            <v>12/64</v>
          </cell>
        </row>
        <row r="19">
          <cell r="V19" t="str">
            <v>13/64</v>
          </cell>
          <cell r="W19" t="str">
            <v>Bottom Hole Pressure</v>
          </cell>
        </row>
        <row r="20">
          <cell r="V20" t="str">
            <v>14/64</v>
          </cell>
          <cell r="W20" t="str">
            <v>Surface Pressure</v>
          </cell>
        </row>
        <row r="21">
          <cell r="V21" t="str">
            <v>16/64</v>
          </cell>
          <cell r="W21" t="str">
            <v>Logging Temperature</v>
          </cell>
        </row>
        <row r="22">
          <cell r="V22" t="str">
            <v>18/64</v>
          </cell>
        </row>
        <row r="23">
          <cell r="V23" t="str">
            <v>20/64</v>
          </cell>
        </row>
        <row r="24">
          <cell r="V24" t="str">
            <v>22/64</v>
          </cell>
        </row>
        <row r="25">
          <cell r="V25" t="str">
            <v>24/64</v>
          </cell>
        </row>
        <row r="26">
          <cell r="V26" t="str">
            <v>28/64</v>
          </cell>
          <cell r="W26" t="str">
            <v xml:space="preserve">Report  </v>
          </cell>
        </row>
        <row r="27">
          <cell r="V27" t="str">
            <v>32/64</v>
          </cell>
          <cell r="W27" t="str">
            <v xml:space="preserve">Final Report  </v>
          </cell>
        </row>
        <row r="28">
          <cell r="V28" t="str">
            <v>36/64</v>
          </cell>
          <cell r="W28" t="str">
            <v>(Preliminary Report)</v>
          </cell>
        </row>
        <row r="29">
          <cell r="V29" t="str">
            <v>40/64</v>
          </cell>
          <cell r="W29" t="str">
            <v>Revised Report</v>
          </cell>
        </row>
        <row r="30">
          <cell r="V30" t="str">
            <v>44/64</v>
          </cell>
        </row>
        <row r="31">
          <cell r="V31" t="str">
            <v>48/64</v>
          </cell>
        </row>
        <row r="32">
          <cell r="V32" t="str">
            <v>64/64</v>
          </cell>
        </row>
        <row r="33">
          <cell r="V33" t="str">
            <v>Open</v>
          </cell>
        </row>
      </sheetData>
      <sheetData sheetId="1" refreshError="1"/>
      <sheetData sheetId="2">
        <row r="75">
          <cell r="D75" t="str">
            <v>Arsenal Resources, LLC</v>
          </cell>
        </row>
        <row r="76">
          <cell r="D76" t="str">
            <v>Flamco 211 H</v>
          </cell>
        </row>
        <row r="77">
          <cell r="D77" t="str">
            <v>Puma Field</v>
          </cell>
        </row>
        <row r="78">
          <cell r="D78" t="str">
            <v>Upshur County</v>
          </cell>
        </row>
        <row r="79">
          <cell r="G79" t="str">
            <v>Well Test Data</v>
          </cell>
        </row>
        <row r="80">
          <cell r="D80" t="str">
            <v>Size</v>
          </cell>
          <cell r="E80" t="str">
            <v>Weight</v>
          </cell>
          <cell r="F80" t="str">
            <v>Depth</v>
          </cell>
          <cell r="G80" t="str">
            <v>Well Status</v>
          </cell>
        </row>
        <row r="81">
          <cell r="D81" t="str">
            <v xml:space="preserve"> </v>
          </cell>
          <cell r="F81" t="str">
            <v xml:space="preserve"> </v>
          </cell>
          <cell r="G81" t="str">
            <v>Total Gas, mscfd</v>
          </cell>
        </row>
        <row r="82">
          <cell r="D82" t="str">
            <v xml:space="preserve"> </v>
          </cell>
          <cell r="F82">
            <v>0</v>
          </cell>
          <cell r="G82" t="str">
            <v>Injection Gas, mscfd</v>
          </cell>
        </row>
        <row r="83">
          <cell r="D83" t="str">
            <v xml:space="preserve"> </v>
          </cell>
          <cell r="F83" t="str">
            <v xml:space="preserve"> </v>
          </cell>
          <cell r="G83" t="str">
            <v>Oil Rate, bopd/bcpd</v>
          </cell>
        </row>
        <row r="84">
          <cell r="D84" t="str">
            <v xml:space="preserve"> </v>
          </cell>
          <cell r="F84" t="str">
            <v xml:space="preserve"> </v>
          </cell>
          <cell r="G84" t="str">
            <v>H2O Rate, bwpd</v>
          </cell>
        </row>
        <row r="85">
          <cell r="D85" t="str">
            <v xml:space="preserve"> </v>
          </cell>
          <cell r="F85" t="str">
            <v xml:space="preserve"> </v>
          </cell>
          <cell r="G85" t="str">
            <v>Injection Rate, gpm</v>
          </cell>
        </row>
        <row r="86">
          <cell r="D86" t="str">
            <v xml:space="preserve"> </v>
          </cell>
          <cell r="E86" t="str">
            <v>PBTD</v>
          </cell>
          <cell r="F86" t="str">
            <v xml:space="preserve"> </v>
          </cell>
          <cell r="G86" t="str">
            <v>Choke Size</v>
          </cell>
        </row>
        <row r="87">
          <cell r="F87">
            <v>7476</v>
          </cell>
          <cell r="G87" t="str">
            <v>BS &amp; W, %</v>
          </cell>
        </row>
        <row r="88">
          <cell r="F88">
            <v>7477</v>
          </cell>
          <cell r="G88" t="str">
            <v>Shut-in time, hours</v>
          </cell>
        </row>
        <row r="89">
          <cell r="F89">
            <v>7476.5</v>
          </cell>
          <cell r="G89" t="str">
            <v>Flowing time, hours</v>
          </cell>
        </row>
        <row r="90">
          <cell r="E90" t="str">
            <v>Gradient Data</v>
          </cell>
        </row>
        <row r="91">
          <cell r="D91" t="str">
            <v>TVD</v>
          </cell>
          <cell r="E91" t="str">
            <v>BHP</v>
          </cell>
          <cell r="F91" t="str">
            <v>BHT</v>
          </cell>
          <cell r="G91" t="str">
            <v>P-Grad</v>
          </cell>
        </row>
        <row r="92">
          <cell r="D92" t="str">
            <v>(feet)</v>
          </cell>
          <cell r="E92" t="str">
            <v>(psia)</v>
          </cell>
          <cell r="F92" t="str">
            <v>(Deg.F)</v>
          </cell>
          <cell r="G92" t="str">
            <v>(psi/ft)</v>
          </cell>
        </row>
        <row r="93">
          <cell r="D93"/>
          <cell r="E93"/>
          <cell r="F93"/>
          <cell r="G93"/>
        </row>
        <row r="94">
          <cell r="D94"/>
          <cell r="E94"/>
          <cell r="F94"/>
          <cell r="G94"/>
        </row>
        <row r="95">
          <cell r="D95"/>
          <cell r="E95"/>
          <cell r="F95"/>
          <cell r="G95"/>
        </row>
        <row r="96">
          <cell r="D96"/>
          <cell r="E96"/>
          <cell r="F96"/>
          <cell r="G96"/>
        </row>
        <row r="97">
          <cell r="D97"/>
          <cell r="E97"/>
          <cell r="F97"/>
          <cell r="G97"/>
        </row>
        <row r="98">
          <cell r="D98"/>
          <cell r="E98"/>
          <cell r="F98"/>
          <cell r="G98"/>
        </row>
        <row r="99">
          <cell r="D99"/>
          <cell r="E99"/>
          <cell r="F99"/>
          <cell r="G99"/>
        </row>
        <row r="100">
          <cell r="D100"/>
          <cell r="E100"/>
          <cell r="F100"/>
          <cell r="G100"/>
        </row>
        <row r="101">
          <cell r="D101"/>
          <cell r="E101"/>
          <cell r="F101"/>
          <cell r="G101"/>
        </row>
        <row r="102">
          <cell r="D102"/>
          <cell r="E102"/>
          <cell r="F102"/>
          <cell r="G102"/>
        </row>
        <row r="103">
          <cell r="D103"/>
          <cell r="E103"/>
          <cell r="F103"/>
          <cell r="G103"/>
        </row>
        <row r="104">
          <cell r="D104"/>
          <cell r="E104"/>
          <cell r="F104"/>
          <cell r="G104"/>
        </row>
        <row r="105">
          <cell r="D105"/>
          <cell r="E105"/>
          <cell r="F105"/>
          <cell r="G105"/>
        </row>
        <row r="106">
          <cell r="D106"/>
          <cell r="E106"/>
          <cell r="F106"/>
          <cell r="G106"/>
        </row>
        <row r="107">
          <cell r="D107"/>
          <cell r="E107"/>
          <cell r="F107"/>
          <cell r="G107"/>
        </row>
        <row r="108">
          <cell r="D108"/>
          <cell r="E108"/>
          <cell r="F108"/>
          <cell r="G108"/>
        </row>
        <row r="109">
          <cell r="D109"/>
          <cell r="E109"/>
          <cell r="F109"/>
          <cell r="G109"/>
        </row>
        <row r="110">
          <cell r="D110"/>
          <cell r="E110"/>
          <cell r="F110"/>
          <cell r="G110"/>
        </row>
        <row r="111">
          <cell r="D111"/>
          <cell r="E111"/>
          <cell r="F111"/>
          <cell r="G111"/>
        </row>
        <row r="112">
          <cell r="D112"/>
          <cell r="E112"/>
          <cell r="F112"/>
          <cell r="G112"/>
        </row>
        <row r="113">
          <cell r="D113"/>
          <cell r="E113"/>
          <cell r="F113"/>
          <cell r="G113"/>
        </row>
        <row r="114">
          <cell r="D114"/>
          <cell r="E114"/>
          <cell r="F114"/>
          <cell r="G114"/>
        </row>
        <row r="115">
          <cell r="D115"/>
          <cell r="E115"/>
          <cell r="F115"/>
          <cell r="G115"/>
        </row>
        <row r="116">
          <cell r="D116"/>
          <cell r="E116"/>
          <cell r="F116"/>
          <cell r="G116"/>
        </row>
        <row r="117">
          <cell r="D117"/>
          <cell r="E117"/>
          <cell r="F117"/>
          <cell r="G117"/>
        </row>
        <row r="118">
          <cell r="D118"/>
          <cell r="E118"/>
          <cell r="F118"/>
          <cell r="G118"/>
        </row>
        <row r="119">
          <cell r="D119"/>
          <cell r="E119"/>
          <cell r="F119"/>
          <cell r="G119"/>
        </row>
        <row r="120">
          <cell r="D120"/>
          <cell r="E120"/>
          <cell r="F120"/>
          <cell r="G120"/>
        </row>
        <row r="121">
          <cell r="D121"/>
          <cell r="E121"/>
          <cell r="F121"/>
          <cell r="G121"/>
        </row>
        <row r="122">
          <cell r="D122"/>
          <cell r="E122"/>
          <cell r="F122"/>
          <cell r="G122"/>
        </row>
        <row r="123">
          <cell r="D123"/>
          <cell r="E123"/>
          <cell r="F123"/>
          <cell r="G123"/>
        </row>
        <row r="124">
          <cell r="D124"/>
          <cell r="E124"/>
          <cell r="F124"/>
          <cell r="G124"/>
        </row>
        <row r="125">
          <cell r="D125"/>
          <cell r="E125"/>
          <cell r="F125"/>
          <cell r="G125"/>
        </row>
        <row r="126">
          <cell r="D126"/>
          <cell r="E126"/>
          <cell r="F126"/>
          <cell r="G126"/>
        </row>
        <row r="127">
          <cell r="D127"/>
          <cell r="E127"/>
          <cell r="F127"/>
          <cell r="G127"/>
        </row>
        <row r="128">
          <cell r="D128"/>
          <cell r="E128"/>
          <cell r="F128"/>
          <cell r="G128"/>
        </row>
        <row r="129">
          <cell r="D129">
            <v>7418</v>
          </cell>
          <cell r="E129">
            <v>1503.6464761904754</v>
          </cell>
          <cell r="F129">
            <v>167.7613333333332</v>
          </cell>
          <cell r="G129">
            <v>0.41650793650793622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F3">
            <v>0</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otes"/>
      <sheetName val="Ext. B&amp;C"/>
      <sheetName val="Cyl. B&amp;C"/>
      <sheetName val="Test"/>
      <sheetName val="Turns-Torque calcs"/>
      <sheetName val="Calculations"/>
      <sheetName val="1"/>
      <sheetName val="2"/>
      <sheetName val="3"/>
      <sheetName val="Tool Report"/>
      <sheetName val="TST Calcs &amp; checklist"/>
      <sheetName val="Run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tric Conversions"/>
      <sheetName val="Casing Info"/>
      <sheetName val="DATA"/>
      <sheetName val="Liner Job Info"/>
      <sheetName val="Weight Calculations"/>
      <sheetName val="Displacement Cal."/>
      <sheetName val="Test"/>
      <sheetName val="Tally"/>
      <sheetName val="Job Log"/>
      <sheetName val="Database Pg1"/>
      <sheetName val="Database Pg2"/>
      <sheetName val="Ball Seat Info"/>
      <sheetName val="Drawing"/>
    </sheetNames>
    <sheetDataSet>
      <sheetData sheetId="0" refreshError="1"/>
      <sheetData sheetId="1" refreshError="1"/>
      <sheetData sheetId="2" refreshError="1"/>
      <sheetData sheetId="3">
        <row r="19">
          <cell r="R19">
            <v>16600</v>
          </cell>
        </row>
        <row r="32">
          <cell r="D32">
            <v>0.75246390098556037</v>
          </cell>
        </row>
        <row r="33">
          <cell r="D33">
            <v>35000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 BPR0058"/>
      <sheetName val="PA BPR0041"/>
      <sheetName val="PA BPR010"/>
      <sheetName val="PA BPR005"/>
      <sheetName val="PA BPR001"/>
      <sheetName val="Quotes"/>
      <sheetName val="Count Chart per Cause"/>
      <sheetName val="Open Time Chart per Cause"/>
      <sheetName val="Cost per Cause Chart"/>
      <sheetName val="BPR Form from Cade Log"/>
      <sheetName val="BPR LOG"/>
      <sheetName val="laroux"/>
      <sheetName val="BPR Form"/>
      <sheetName val="Product Lines"/>
      <sheetName val="Count Chart"/>
    </sheetNames>
    <sheetDataSet>
      <sheetData sheetId="0"/>
      <sheetData sheetId="1"/>
      <sheetData sheetId="2"/>
      <sheetData sheetId="3"/>
      <sheetData sheetId="4"/>
      <sheetData sheetId="5"/>
      <sheetData sheetId="6"/>
      <sheetData sheetId="7"/>
      <sheetData sheetId="8"/>
      <sheetData sheetId="9"/>
      <sheetData sheetId="10" refreshError="1">
        <row r="1">
          <cell r="AP1" t="str">
            <v>Cost (Direct + Indirect)</v>
          </cell>
          <cell r="AQ1" t="str">
            <v>CAUSE CODE</v>
          </cell>
          <cell r="AZ1" t="str">
            <v>CA BY</v>
          </cell>
          <cell r="BA1" t="str">
            <v>CA DATE</v>
          </cell>
          <cell r="BB1" t="str">
            <v>PREVENTIVE ACTION</v>
          </cell>
          <cell r="BG1" t="str">
            <v>App spec / AEG receipient</v>
          </cell>
          <cell r="BH1" t="str">
            <v>QA recipient</v>
          </cell>
          <cell r="BN1" t="str">
            <v>PREVENTIVE ACTION cont'd</v>
          </cell>
          <cell r="BQ1" t="str">
            <v>BPR directed to:</v>
          </cell>
          <cell r="BS1" t="str">
            <v>Sales receipient</v>
          </cell>
        </row>
        <row r="2">
          <cell r="AP2" t="str">
            <v>lack of training on (1) pressure required to shear during circulating + (2) lagniappe required to add to shear values of pins</v>
          </cell>
          <cell r="AQ2">
            <v>61</v>
          </cell>
          <cell r="AZ2" t="str">
            <v>K Trahan / R Prasad</v>
          </cell>
          <cell r="BA2">
            <v>35362</v>
          </cell>
          <cell r="BB2" t="str">
            <v>letter issued to liner hanger districts re shear pressure &amp; shear value lagniappe</v>
          </cell>
          <cell r="BG2" t="str">
            <v>N/A</v>
          </cell>
          <cell r="BH2" t="str">
            <v>cc: P Stone</v>
          </cell>
          <cell r="BQ2" t="str">
            <v>K Trahan</v>
          </cell>
        </row>
        <row r="3">
          <cell r="AP3" t="str">
            <v>HUMAN ERROR-CALC OF SET DEPTH FROM MUDLINE</v>
          </cell>
          <cell r="AQ3">
            <v>56</v>
          </cell>
          <cell r="AZ3" t="str">
            <v>R PRASAD</v>
          </cell>
          <cell r="BA3">
            <v>35313</v>
          </cell>
          <cell r="BB3" t="str">
            <v>THE BOT SCSSV INSTALLATION REPORT NOW INCLUDES THE MUDLINE DEPTH AS AN INPUT BY THE BOT SERVICE REP; THIS ADD'L FILL-IN IS TAKEN TO PREVENT SUCH NONCONFORMANCE; FORM REV DONE REF TOMMY K &amp; STEVIE 9/9/96</v>
          </cell>
          <cell r="BG3" t="str">
            <v>D Aldridge</v>
          </cell>
          <cell r="BH3" t="str">
            <v>D Ingvardsen</v>
          </cell>
          <cell r="BQ3" t="str">
            <v>R Prasad</v>
          </cell>
        </row>
        <row r="4">
          <cell r="AQ4">
            <v>34</v>
          </cell>
          <cell r="AZ4" t="str">
            <v>R PRASAD</v>
          </cell>
          <cell r="BA4">
            <v>35326</v>
          </cell>
          <cell r="BB4" t="str">
            <v>N/A</v>
          </cell>
          <cell r="BQ4" t="str">
            <v>R Prasad</v>
          </cell>
        </row>
        <row r="5">
          <cell r="AP5" t="str">
            <v>Engineering dwg dim wrong per preventive action</v>
          </cell>
          <cell r="AQ5">
            <v>33</v>
          </cell>
          <cell r="AZ5" t="str">
            <v>R Prasad</v>
          </cell>
          <cell r="BA5">
            <v>35326</v>
          </cell>
          <cell r="BB5" t="str">
            <v>Per D Ingvardesn ltr &amp; verbal rec'd 10/28/96, engr has issued chg to correct this</v>
          </cell>
          <cell r="BG5" t="str">
            <v>J Knippa</v>
          </cell>
          <cell r="BH5" t="str">
            <v>D Ingvardsen</v>
          </cell>
          <cell r="BQ5" t="str">
            <v>D Ingvardsen</v>
          </cell>
        </row>
        <row r="6">
          <cell r="AP6" t="str">
            <v>Could not set hanger; left it on bottom; possible bigger problem next time.</v>
          </cell>
          <cell r="AQ6">
            <v>11</v>
          </cell>
          <cell r="AZ6" t="str">
            <v>K Trahan</v>
          </cell>
          <cell r="BA6">
            <v>35362</v>
          </cell>
          <cell r="BB6" t="str">
            <v>K Trahan is issuing a ltr to Sales &amp; liner districts re selling / ordering ball seats ceramic coated; ref small price difference</v>
          </cell>
          <cell r="BG6" t="str">
            <v>cc: G Givens</v>
          </cell>
          <cell r="BH6" t="str">
            <v>cc: P Stone</v>
          </cell>
          <cell r="BQ6" t="str">
            <v>K Trahan</v>
          </cell>
        </row>
        <row r="7">
          <cell r="AP7" t="str">
            <v>Engr error: engr print had incorrect blank out dimensions;</v>
          </cell>
          <cell r="AQ7">
            <v>33</v>
          </cell>
          <cell r="AZ7" t="str">
            <v>John Hanson &amp; Ray Guillory</v>
          </cell>
          <cell r="BA7">
            <v>35348</v>
          </cell>
          <cell r="BB7" t="str">
            <v>QA reviewed this w/ engr</v>
          </cell>
          <cell r="BG7" t="str">
            <v>N/A</v>
          </cell>
          <cell r="BH7" t="str">
            <v>R Guillory</v>
          </cell>
          <cell r="BQ7" t="str">
            <v>R Guillory</v>
          </cell>
        </row>
        <row r="8">
          <cell r="AQ8">
            <v>36</v>
          </cell>
          <cell r="BH8" t="str">
            <v>R Guillory</v>
          </cell>
          <cell r="BQ8" t="str">
            <v>R Guillory</v>
          </cell>
          <cell r="BS8" t="str">
            <v>N/A</v>
          </cell>
        </row>
        <row r="9">
          <cell r="AP9" t="str">
            <v>error in price book</v>
          </cell>
          <cell r="AQ9">
            <v>32</v>
          </cell>
          <cell r="AZ9" t="str">
            <v>T Jiral</v>
          </cell>
          <cell r="BA9" t="str">
            <v>rec'd 10/25/96</v>
          </cell>
          <cell r="BB9" t="str">
            <v>(being addressed w/ new price book effective 1/1/97; pricing issues should be directed to Ben Kendall</v>
          </cell>
          <cell r="BG9" t="str">
            <v>N/A</v>
          </cell>
          <cell r="BH9" t="str">
            <v>R Guillory</v>
          </cell>
          <cell r="BQ9" t="str">
            <v>M Kendall</v>
          </cell>
        </row>
        <row r="10">
          <cell r="AP10" t="str">
            <v>(1) the support ring sleeve 060307700 of the pkr is too short to mu to the std adapter sleev 01576400.  Thus, dist must make special adapter sleeve to accomodate.  (2) The left hand sq thds of pkr are not sized for a std 32 adapter kit.</v>
          </cell>
          <cell r="AQ10">
            <v>33</v>
          </cell>
          <cell r="AZ10" t="str">
            <v>R Prasad</v>
          </cell>
          <cell r="BA10">
            <v>35347</v>
          </cell>
          <cell r="BB10" t="str">
            <v xml:space="preserve"> Next ones f/ Amoco to have corrected (1) support ring sleeve &amp; (2) left hd sq thds of the body.  Design modifications are being layed out as of 10/9/96 per B Russert / C Johnson, Navig</v>
          </cell>
          <cell r="BQ10" t="str">
            <v>D Ingvardsen</v>
          </cell>
        </row>
        <row r="11">
          <cell r="AP11" t="str">
            <v>Could not set hgr or squeeze so had to run back in to tack &amp; squeeze; possible bigger problem next time.</v>
          </cell>
          <cell r="AQ11">
            <v>11</v>
          </cell>
          <cell r="AZ11" t="str">
            <v>R Prasad / K Trahan</v>
          </cell>
          <cell r="BA11">
            <v>35362</v>
          </cell>
          <cell r="BB11" t="str">
            <v>K Trahan is issuing a ltr to Sales &amp; liner districts re setting up jobs (1) in 40 degree deviation w/ mechanical vs hydraulic hanger + (2) Risk re RH set / RH release hanger + LH set squeeze tool</v>
          </cell>
          <cell r="BG11" t="str">
            <v>cc: G Givens</v>
          </cell>
          <cell r="BH11" t="str">
            <v>cc: P Stone</v>
          </cell>
          <cell r="BQ11" t="str">
            <v>K Trahan</v>
          </cell>
        </row>
        <row r="12">
          <cell r="AP12" t="str">
            <v>Cost of investig, design &amp; cutting of new oring grooves in test tol - approx 2 hrs total</v>
          </cell>
          <cell r="AQ12">
            <v>35</v>
          </cell>
          <cell r="AZ12" t="str">
            <v>R Prasad</v>
          </cell>
          <cell r="BA12">
            <v>35349</v>
          </cell>
          <cell r="BB12" t="str">
            <v>Mfg instruciton sheet @ Navig has been updated to 3.27/3.28 &amp; work order in shop has been corrected.</v>
          </cell>
          <cell r="BG12" t="str">
            <v>B Russert</v>
          </cell>
          <cell r="BH12" t="str">
            <v>D Ingvardsen</v>
          </cell>
          <cell r="BQ12" t="str">
            <v>D Ingvardsen</v>
          </cell>
        </row>
        <row r="13">
          <cell r="AP13" t="str">
            <v>Replacemt of slip ring ties is occurring more frequently within the last 6 mo's</v>
          </cell>
          <cell r="AZ13" t="str">
            <v>R Prasad</v>
          </cell>
          <cell r="BA13">
            <v>35349</v>
          </cell>
          <cell r="BG13" t="str">
            <v xml:space="preserve">Per D Rothers memo dated  4/8/97, received on 4/11/97, "it is recommended that the set screws be tightened with a standard allen key.  No torque rating is available and none will be provided."  Torque spec again requested from Navig &amp; received on 5/1/97. </v>
          </cell>
          <cell r="BQ13" t="str">
            <v>D Ingvardsen</v>
          </cell>
        </row>
        <row r="14">
          <cell r="AP14" t="str">
            <v>Corect setting force is not listed in tech unit issued (draft #3, issued Sept 1996); this tech unit does not specify that full setting load must be applied using pressure only, vs combo of pressure &amp; upstrain / slack-off.  This tech unit indicates that</v>
          </cell>
          <cell r="AQ14">
            <v>34</v>
          </cell>
          <cell r="AZ14" t="str">
            <v>C Flemming / R Prasad</v>
          </cell>
          <cell r="BB14" t="str">
            <v>per M Smith, next tech unit will include this info; awaiting completion of tech unit</v>
          </cell>
          <cell r="BG14" t="str">
            <v>M Smith</v>
          </cell>
          <cell r="BH14" t="str">
            <v>D Ingvardsen</v>
          </cell>
          <cell r="BQ14" t="str">
            <v>D Ingvardsen</v>
          </cell>
        </row>
        <row r="15">
          <cell r="AP15" t="str">
            <v>Attn engr: how much wt can we puch thru tight spots, i.e., liner tops, etc.?  How much can we set down? will it start presetting?</v>
          </cell>
          <cell r="AQ15">
            <v>34</v>
          </cell>
          <cell r="AZ15" t="str">
            <v>R Prasad</v>
          </cell>
          <cell r="BA15">
            <v>35412</v>
          </cell>
          <cell r="BB15" t="str">
            <v>M Smith</v>
          </cell>
          <cell r="BG15" t="str">
            <v>M Smith</v>
          </cell>
          <cell r="BH15" t="str">
            <v>D Ingvardsen</v>
          </cell>
          <cell r="BQ15" t="str">
            <v>D Ingvardsen</v>
          </cell>
        </row>
        <row r="16">
          <cell r="AP16" t="str">
            <v>N/A</v>
          </cell>
          <cell r="AQ16">
            <v>34</v>
          </cell>
          <cell r="AZ16" t="str">
            <v>N/A</v>
          </cell>
          <cell r="BA16" t="str">
            <v>N/A</v>
          </cell>
          <cell r="BB16" t="str">
            <v>N/A</v>
          </cell>
          <cell r="BG16" t="str">
            <v>M Smith</v>
          </cell>
          <cell r="BH16" t="str">
            <v>D Ingvardsen</v>
          </cell>
          <cell r="BQ16" t="str">
            <v>D Ingvardsen</v>
          </cell>
        </row>
        <row r="17">
          <cell r="BH17" t="str">
            <v>T Jiral</v>
          </cell>
          <cell r="BQ17" t="str">
            <v>M Plante</v>
          </cell>
        </row>
        <row r="18">
          <cell r="AP18" t="str">
            <v xml:space="preserve">When the tools were returned to the shop tehy were gauged again &amp; found to be a problem with the whipstock ext.; the thickness form the back of the whipstock to front of carrying lug was 3/32" too thick; this problem was found in Houstonbeofre and no </v>
          </cell>
          <cell r="AQ18">
            <v>33</v>
          </cell>
          <cell r="AZ18" t="str">
            <v>Richard Wyman / J Sonnier</v>
          </cell>
          <cell r="BA18">
            <v>35352</v>
          </cell>
          <cell r="BQ18" t="str">
            <v>G Lynde</v>
          </cell>
        </row>
        <row r="19">
          <cell r="AP19" t="str">
            <v>frequent / premature junk-out of piston rod, potential tool malfunction if not prevented</v>
          </cell>
          <cell r="AQ19">
            <v>33</v>
          </cell>
          <cell r="AZ19" t="str">
            <v>D Wade / R Prasad</v>
          </cell>
          <cell r="BA19">
            <v>35368</v>
          </cell>
          <cell r="BB19" t="str">
            <v>Per D Ingvardsen e-mail, piston rod should have been obsoleted &amp; replaced w/ one which has QPQ coating on it, but engr missed it &amp; is looking into it.</v>
          </cell>
          <cell r="BG19" t="str">
            <v>J Knippa</v>
          </cell>
          <cell r="BH19" t="str">
            <v>D Ingvardsen</v>
          </cell>
          <cell r="BQ19" t="str">
            <v>D Ingvardsen</v>
          </cell>
        </row>
        <row r="20">
          <cell r="AP20" t="str">
            <v>frequent / premature junk-out of piston rod</v>
          </cell>
          <cell r="AQ20">
            <v>33</v>
          </cell>
          <cell r="AZ20" t="str">
            <v>D Wade / R Prasad</v>
          </cell>
          <cell r="BA20">
            <v>35368</v>
          </cell>
          <cell r="BB20" t="str">
            <v>Per D Ingvardsen e-mail, piston rod 020739600 has been obsoleted &amp; replaced w/ 013470100 which has QPQ coating on it; field stock is to be used until stock is depleted.</v>
          </cell>
          <cell r="BG20" t="str">
            <v>J Knippa</v>
          </cell>
          <cell r="BH20" t="str">
            <v>D Ingvardsen</v>
          </cell>
          <cell r="BQ20" t="str">
            <v>D Ingvardsen</v>
          </cell>
        </row>
        <row r="21">
          <cell r="BH21" t="str">
            <v>R Guillory</v>
          </cell>
          <cell r="BQ21" t="str">
            <v>R Guillory / S Paulk</v>
          </cell>
        </row>
        <row r="22">
          <cell r="AP22" t="str">
            <v>two days cause investigation @ Cameron Ville Platte w/ Cameron Engrs &amp; BOT Reg Engr</v>
          </cell>
          <cell r="AQ22">
            <v>35</v>
          </cell>
          <cell r="AZ22" t="str">
            <v>R Prasad / J Broussard / Shane Hickey / Walt Chapman (BA)</v>
          </cell>
          <cell r="BA22">
            <v>35370</v>
          </cell>
          <cell r="BB22" t="str">
            <v>R Early</v>
          </cell>
          <cell r="BG22" t="str">
            <v>R Early</v>
          </cell>
          <cell r="BH22" t="str">
            <v>David Ott</v>
          </cell>
          <cell r="BQ22" t="str">
            <v>D Ott</v>
          </cell>
        </row>
        <row r="23">
          <cell r="AP23" t="str">
            <v>one day waiting on wear bearings</v>
          </cell>
          <cell r="AQ23">
            <v>35</v>
          </cell>
          <cell r="AZ23" t="str">
            <v>J Broussard</v>
          </cell>
          <cell r="BA23">
            <v>35370</v>
          </cell>
          <cell r="BB23" t="str">
            <v>Broken Arrow has implemented a procedure for another Material Planner to double check the BOMs; ref BA BPR distribution memo rec'd 11/11/96.</v>
          </cell>
          <cell r="BG23" t="str">
            <v>R Early</v>
          </cell>
          <cell r="BH23" t="str">
            <v>David Ott</v>
          </cell>
          <cell r="BQ23" t="str">
            <v>D Ott</v>
          </cell>
        </row>
        <row r="24">
          <cell r="AP24" t="str">
            <v>In  assy of landing collar at Emmott Rd, in order to assemble insert into colllar, two holes were drilled COMPLETELY THRU, providing leak path once plug lands.</v>
          </cell>
          <cell r="AQ24">
            <v>35</v>
          </cell>
          <cell r="AZ24" t="str">
            <v>J Solari / R Prasad</v>
          </cell>
          <cell r="BA24">
            <v>35373</v>
          </cell>
          <cell r="BB24" t="str">
            <v>G Givens</v>
          </cell>
          <cell r="BG24" t="str">
            <v>G Givens</v>
          </cell>
          <cell r="BH24" t="str">
            <v>R Guillory / T Jiral</v>
          </cell>
          <cell r="BQ24" t="str">
            <v>R Guillory</v>
          </cell>
        </row>
        <row r="25">
          <cell r="AP25" t="str">
            <v>risk: plugs must bump to set hgr since ball no seat</v>
          </cell>
          <cell r="AZ25" t="str">
            <v>R Irving / R Prasad</v>
          </cell>
          <cell r="BA25">
            <v>35373</v>
          </cell>
          <cell r="BB25" t="str">
            <v>G Givens</v>
          </cell>
          <cell r="BG25" t="str">
            <v>G Givens</v>
          </cell>
          <cell r="BH25" t="str">
            <v>R Guillory / T Jiral</v>
          </cell>
          <cell r="BQ25" t="str">
            <v>B Cowart</v>
          </cell>
        </row>
        <row r="26">
          <cell r="AP26" t="str">
            <v>N/A - run zxp w/ 4 pins vs 9</v>
          </cell>
          <cell r="AQ26">
            <v>34</v>
          </cell>
          <cell r="AZ26" t="str">
            <v>N/A</v>
          </cell>
          <cell r="BA26" t="str">
            <v>N/A</v>
          </cell>
          <cell r="BB26" t="str">
            <v>N/A</v>
          </cell>
          <cell r="BG26" t="str">
            <v>G Givens</v>
          </cell>
          <cell r="BH26" t="str">
            <v>R Guillory</v>
          </cell>
          <cell r="BQ26" t="str">
            <v>R Prasad</v>
          </cell>
        </row>
        <row r="27">
          <cell r="AP27" t="str">
            <v>Possible risk of bigger problem next time.</v>
          </cell>
          <cell r="AQ27">
            <v>33</v>
          </cell>
          <cell r="BB27" t="str">
            <v>J Knippa</v>
          </cell>
          <cell r="BG27" t="str">
            <v>J Knippa</v>
          </cell>
          <cell r="BH27" t="str">
            <v>D Ingvardsen 11/9/96</v>
          </cell>
          <cell r="BQ27" t="str">
            <v>D Ingvardsen</v>
          </cell>
        </row>
        <row r="28">
          <cell r="AP28" t="str">
            <v>2 days + 2 redresses+ (not to BOT)</v>
          </cell>
          <cell r="AQ28">
            <v>62</v>
          </cell>
          <cell r="AZ28" t="str">
            <v>L Francis</v>
          </cell>
          <cell r="BA28" t="str">
            <v>11/6/96 / 11/18/96</v>
          </cell>
          <cell r="BB28" t="str">
            <v>Customer</v>
          </cell>
          <cell r="BQ28" t="str">
            <v>R Prasad</v>
          </cell>
        </row>
        <row r="29">
          <cell r="AP29" t="str">
            <v>Possible risk of bigger problem next time.</v>
          </cell>
          <cell r="AQ29">
            <v>33</v>
          </cell>
          <cell r="AZ29" t="str">
            <v>H Mellville / R Prasad</v>
          </cell>
          <cell r="BA29">
            <v>35376</v>
          </cell>
          <cell r="BQ29" t="str">
            <v>D Ingvardsen</v>
          </cell>
          <cell r="BS29" t="str">
            <v>L Sibley</v>
          </cell>
        </row>
        <row r="30">
          <cell r="AP30" t="str">
            <v>awaiting final cause investigation</v>
          </cell>
          <cell r="AQ30" t="str">
            <v>56 or 62</v>
          </cell>
          <cell r="BQ30" t="str">
            <v>M Weichman</v>
          </cell>
        </row>
        <row r="31">
          <cell r="AP31" t="str">
            <v>6 hrs rig time @ $155/hr + fishing @ $3456 + damaged 3 1/2 CSH jt @ $210 + BOT service @ $2066</v>
          </cell>
          <cell r="AQ31">
            <v>56</v>
          </cell>
          <cell r="AZ31" t="str">
            <v>B Efthemes</v>
          </cell>
          <cell r="BA31">
            <v>35382</v>
          </cell>
          <cell r="BB31" t="str">
            <v xml:space="preserve">(1) Loadout sheet to be signed as checked properly by Service Mgr / appointed designee per BPM 8-1 para 6.0.  (2) Crossover sub threads to be verified ASAP prior to  making up on workstring prior to RIH (i.e., verify at shop where feasible, but always on </v>
          </cell>
          <cell r="BG31" t="str">
            <v>N/A</v>
          </cell>
          <cell r="BH31" t="str">
            <v>N/A</v>
          </cell>
          <cell r="BQ31" t="str">
            <v>B Efthemes</v>
          </cell>
        </row>
        <row r="32">
          <cell r="AP32" t="str">
            <v>Had to emerg pull disconnect instead of hydraulic.  Possible same problem next job.</v>
          </cell>
          <cell r="AQ32">
            <v>33</v>
          </cell>
          <cell r="AZ32" t="str">
            <v>R Prasad / G Conover</v>
          </cell>
          <cell r="BA32">
            <v>35383</v>
          </cell>
          <cell r="BH32" t="str">
            <v>R Guillory</v>
          </cell>
          <cell r="BQ32" t="str">
            <v>R Guillory</v>
          </cell>
        </row>
        <row r="33">
          <cell r="AP33" t="str">
            <v>1 1/2 extra trips plus use of BOT fishing tools: stabilizer + bumper subs to get on-off tool out of hole; total time approx 29 hrs extra</v>
          </cell>
          <cell r="AQ33">
            <v>62</v>
          </cell>
          <cell r="AZ33" t="str">
            <v>C Flemming, R Prasad</v>
          </cell>
          <cell r="BA33">
            <v>35384</v>
          </cell>
          <cell r="BG33" t="str">
            <v>M Smith</v>
          </cell>
          <cell r="BH33" t="str">
            <v>D Ingvardsen</v>
          </cell>
          <cell r="BQ33" t="str">
            <v>D Ingvardsen</v>
          </cell>
        </row>
        <row r="34">
          <cell r="AP34" t="str">
            <v>1 slip</v>
          </cell>
          <cell r="AQ34">
            <v>35</v>
          </cell>
          <cell r="AZ34" t="str">
            <v>R Prasad</v>
          </cell>
          <cell r="BA34">
            <v>35387</v>
          </cell>
          <cell r="BG34" t="str">
            <v>N/A</v>
          </cell>
          <cell r="BH34" t="str">
            <v>D Ingvardsen</v>
          </cell>
          <cell r="BQ34" t="str">
            <v>D Ingvardsen</v>
          </cell>
        </row>
        <row r="35">
          <cell r="AP35" t="str">
            <v>1 mandrel + 1 day lag to obtain a conforming mandrel</v>
          </cell>
          <cell r="AQ35">
            <v>36</v>
          </cell>
          <cell r="AZ35" t="str">
            <v>L Francis / R Prasad</v>
          </cell>
          <cell r="BA35">
            <v>35388</v>
          </cell>
          <cell r="BG35" t="str">
            <v>N/A</v>
          </cell>
          <cell r="BH35" t="str">
            <v>D Ingvardsen</v>
          </cell>
          <cell r="BQ35" t="str">
            <v>D Ingvardsen</v>
          </cell>
        </row>
        <row r="36">
          <cell r="AP36" t="str">
            <v>no test confirmation</v>
          </cell>
          <cell r="AQ36">
            <v>33</v>
          </cell>
          <cell r="AZ36" t="str">
            <v>K Rudd</v>
          </cell>
          <cell r="BA36">
            <v>35389</v>
          </cell>
          <cell r="BG36" t="str">
            <v>M Plant</v>
          </cell>
          <cell r="BH36" t="str">
            <v>R Guillory</v>
          </cell>
          <cell r="BQ36" t="str">
            <v>R Guillory</v>
          </cell>
        </row>
        <row r="37">
          <cell r="AP37" t="str">
            <v>had to POOH to RIH again 11/21/96 since Eline tool shorted once on btm (extra trip); had to emerg pull off</v>
          </cell>
          <cell r="AQ37">
            <v>33</v>
          </cell>
          <cell r="AZ37" t="str">
            <v>K Rudd / G Conover / R Prasad</v>
          </cell>
          <cell r="BA37">
            <v>35390</v>
          </cell>
          <cell r="BG37" t="str">
            <v>M Plant</v>
          </cell>
          <cell r="BH37" t="str">
            <v>R Guillory</v>
          </cell>
          <cell r="BQ37" t="str">
            <v>M Weichman</v>
          </cell>
        </row>
        <row r="38">
          <cell r="AP38" t="str">
            <v>had to leave hydraullic running tool &amp; fish of Belleville Disconnect in hole (permanent TTBP); risk involved in repeat incident</v>
          </cell>
          <cell r="AQ38">
            <v>33</v>
          </cell>
          <cell r="AZ38" t="str">
            <v>K Rudd, J Fontenot, R Prasad</v>
          </cell>
          <cell r="BA38">
            <v>35390</v>
          </cell>
          <cell r="BG38" t="str">
            <v>M Plant</v>
          </cell>
          <cell r="BH38" t="str">
            <v>R Guillory</v>
          </cell>
          <cell r="BQ38" t="str">
            <v>R Guillory</v>
          </cell>
        </row>
        <row r="39">
          <cell r="AP39" t="str">
            <v>Frequent changeout of piston remover; possible safety hazard upon shear</v>
          </cell>
          <cell r="AQ39">
            <v>33</v>
          </cell>
          <cell r="AZ39" t="str">
            <v>W Stovall / R Prasad</v>
          </cell>
          <cell r="BA39">
            <v>35391</v>
          </cell>
          <cell r="BG39" t="str">
            <v>J Knippa, M Smith</v>
          </cell>
          <cell r="BH39" t="str">
            <v>D Ingvardsen</v>
          </cell>
          <cell r="BQ39" t="str">
            <v>D Ingvardsen</v>
          </cell>
        </row>
        <row r="40">
          <cell r="AP40" t="str">
            <v>mandrel + handle adapter</v>
          </cell>
          <cell r="AQ40">
            <v>33</v>
          </cell>
          <cell r="AZ40" t="str">
            <v>R Prasad</v>
          </cell>
          <cell r="BA40">
            <v>35401</v>
          </cell>
          <cell r="BG40" t="str">
            <v>B Cowart</v>
          </cell>
          <cell r="BH40" t="str">
            <v>R Guillory</v>
          </cell>
          <cell r="BQ40" t="str">
            <v>R Guillory</v>
          </cell>
        </row>
        <row r="41">
          <cell r="AP41" t="str">
            <v>floats did not hold</v>
          </cell>
          <cell r="BQ41" t="str">
            <v>R Prasad</v>
          </cell>
        </row>
        <row r="42">
          <cell r="AP42" t="str">
            <v>ZXP leak?</v>
          </cell>
        </row>
        <row r="43">
          <cell r="AP43" t="str">
            <v>potential loss of torque control</v>
          </cell>
          <cell r="AQ43">
            <v>33</v>
          </cell>
          <cell r="AZ43" t="str">
            <v>R Prasad</v>
          </cell>
          <cell r="BA43">
            <v>35409</v>
          </cell>
          <cell r="BB43" t="str">
            <v>At district: DO NOT run this tool until final modification instructions are received from Navigation to ensure torque rating.</v>
          </cell>
          <cell r="BG43" t="str">
            <v>J Johnson</v>
          </cell>
          <cell r="BH43" t="str">
            <v>D Ingvardsen</v>
          </cell>
          <cell r="BQ43" t="str">
            <v>D Ingvardsen</v>
          </cell>
        </row>
        <row r="44">
          <cell r="AP44" t="str">
            <v>no direct cost</v>
          </cell>
          <cell r="AQ44">
            <v>52</v>
          </cell>
          <cell r="AZ44" t="str">
            <v>R Prasad / T Martin</v>
          </cell>
          <cell r="BA44">
            <v>35415</v>
          </cell>
          <cell r="BB44" t="str">
            <v>At district: 1) All unloader subs, B2 setting tools, &amp; J hydraulic setting tools will be stamped w/ serial numbers, 2) at redress, initials of redresser will be marked on tool, 3) At job loadout, redresser name / initials will be listed on layout sheet,</v>
          </cell>
          <cell r="BG44" t="str">
            <v>N/A</v>
          </cell>
          <cell r="BH44" t="str">
            <v>cc: D Ingvardsen</v>
          </cell>
          <cell r="BQ44" t="str">
            <v>R January</v>
          </cell>
        </row>
        <row r="45">
          <cell r="AQ45">
            <v>34</v>
          </cell>
          <cell r="AZ45" t="str">
            <v>R Prasad / F Rogers</v>
          </cell>
          <cell r="BA45">
            <v>35415</v>
          </cell>
          <cell r="BG45" t="str">
            <v>J Moore</v>
          </cell>
          <cell r="BH45" t="str">
            <v>D Ott</v>
          </cell>
          <cell r="BQ45" t="str">
            <v>D Ott</v>
          </cell>
        </row>
        <row r="46">
          <cell r="BQ46" t="str">
            <v>D Ingvardsen</v>
          </cell>
        </row>
        <row r="47">
          <cell r="BQ47" t="str">
            <v>S Kerten / Specialty</v>
          </cell>
        </row>
        <row r="48">
          <cell r="BQ48" t="str">
            <v>R Guillory</v>
          </cell>
        </row>
        <row r="49">
          <cell r="BQ49" t="str">
            <v>R Prasad</v>
          </cell>
        </row>
        <row r="50">
          <cell r="BQ50" t="str">
            <v>K Rudd</v>
          </cell>
        </row>
        <row r="51">
          <cell r="BQ51" t="str">
            <v>Arthur White</v>
          </cell>
        </row>
        <row r="52">
          <cell r="BQ52" t="str">
            <v>D Ingvardsen</v>
          </cell>
        </row>
        <row r="53">
          <cell r="BQ53" t="str">
            <v>D Ingvardsen</v>
          </cell>
        </row>
        <row r="54">
          <cell r="BQ54" t="str">
            <v>D Ingvardsen</v>
          </cell>
        </row>
        <row r="55">
          <cell r="BQ55" t="str">
            <v>D Ingvardsen</v>
          </cell>
        </row>
        <row r="56">
          <cell r="BQ56" t="str">
            <v>D Ott</v>
          </cell>
        </row>
        <row r="57">
          <cell r="BQ57" t="str">
            <v>B Moody</v>
          </cell>
        </row>
        <row r="58">
          <cell r="BQ58" t="str">
            <v>M Meier / Kilgore dist</v>
          </cell>
        </row>
        <row r="59">
          <cell r="BQ59" t="str">
            <v>D Cole</v>
          </cell>
        </row>
        <row r="60">
          <cell r="BG60" t="str">
            <v>Per Rudy Patek, Inventory &amp; Cust Svc Mgr, phone 5/14/97, Cade district to charge 50% of the credit amt ($9958.99 * 50% = $4979.50) back to cc: 4600; ref his conversation w/ David Bracewell, QC Mgr, Emmott Rd.</v>
          </cell>
          <cell r="BQ60" t="str">
            <v>R Guillory</v>
          </cell>
        </row>
        <row r="61">
          <cell r="BQ61" t="str">
            <v>D Ingvardsen</v>
          </cell>
        </row>
        <row r="62">
          <cell r="BQ62" t="str">
            <v>D Ingvardsen</v>
          </cell>
        </row>
        <row r="63">
          <cell r="BQ63" t="str">
            <v>J Craig / G Sonnier</v>
          </cell>
        </row>
        <row r="64">
          <cell r="BQ64" t="str">
            <v>R Prasad</v>
          </cell>
        </row>
        <row r="65">
          <cell r="BQ65" t="str">
            <v>R Prasad</v>
          </cell>
        </row>
        <row r="66">
          <cell r="BQ66" t="str">
            <v>R Frisby</v>
          </cell>
        </row>
        <row r="67">
          <cell r="BQ67" t="str">
            <v>D Ott</v>
          </cell>
        </row>
        <row r="68">
          <cell r="AP68" t="str">
            <v>to clean out and check for top of liner; I talked to R Ditmore at 8 am 1/20/97 who told me they found the liner at 12248' = +/-40' higher than originally set.  Per job log, pkr setting dogs appeared to be reentering the liner top as s/o to set zxp.</v>
          </cell>
          <cell r="BQ68" t="str">
            <v>R Frisby / B Cowart</v>
          </cell>
        </row>
        <row r="69">
          <cell r="BQ69" t="str">
            <v>M Weichman</v>
          </cell>
        </row>
        <row r="70">
          <cell r="AP70" t="str">
            <v>sleeve.  The support shoulder that was on the bottom of the un-modified sleeve has been removed in this modified B2 sleeve, preventing ease of backing off adapter sleeve without turning the two pieces (adapter nut &amp; adapter sub) inside with it.</v>
          </cell>
          <cell r="BQ70" t="str">
            <v>R Prasad</v>
          </cell>
        </row>
        <row r="71">
          <cell r="BQ71" t="str">
            <v>R Prasad</v>
          </cell>
        </row>
        <row r="72">
          <cell r="BQ72" t="str">
            <v>R Prasad</v>
          </cell>
        </row>
        <row r="73">
          <cell r="BQ73" t="str">
            <v>B Cowart</v>
          </cell>
        </row>
        <row r="74">
          <cell r="BQ74" t="str">
            <v>T Jiral</v>
          </cell>
        </row>
        <row r="75">
          <cell r="BQ75" t="str">
            <v>T Jiral</v>
          </cell>
        </row>
        <row r="76">
          <cell r="BQ76" t="str">
            <v>T Jiral</v>
          </cell>
        </row>
        <row r="77">
          <cell r="AP77" t="str">
            <v>from left hand torque being transmitted to tool at shallow depth while pulling tool from wellbore w/ clutch disengaged; seems the clutch was not engaged because lock segments had already caught come of the setting threads on mandrel while control segs</v>
          </cell>
          <cell r="AQ77" t="str">
            <v xml:space="preserve">while the control segments were still in contact with the running threads on mandrel allowing the tool to bind.  </v>
          </cell>
          <cell r="AZ77" t="str">
            <v xml:space="preserve">control segmnets are still on the control threads.  In this case, the tool was preveneted from setting flly by the bant dovetail on the upper slip.  The bent dovetail was never received at Navig for inspection, therefore, it cannot be determined if the </v>
          </cell>
          <cell r="BA77" t="str">
            <v xml:space="preserve">bent dovetail was a preexoisting condition or if was bent during the attempt to set the packer.  During attempts to set the packer, the control segments were rotated off the control thds enough to enable the lock segments to contact the lock threads and </v>
          </cell>
          <cell r="BB77" t="str">
            <v>contact the lock thds and for the clutch to disengage.W/ the clutch disengaged, and with both the lock and control segments contacting thds, left hand rotation will bind you up."</v>
          </cell>
          <cell r="BG77" t="str">
            <v>initiated to increase the blank space btw the two thd sets on the mandrel; the same analysis will be necessary  on the 47 size t determ if the correction can be made; this analysis will be carried out by the R &amp; S group as soon as resources become avail."</v>
          </cell>
          <cell r="BQ77" t="str">
            <v>D Ingvardsen</v>
          </cell>
        </row>
        <row r="78">
          <cell r="BQ78" t="str">
            <v>T Jiral</v>
          </cell>
        </row>
        <row r="79">
          <cell r="BQ79" t="str">
            <v>E Lowe</v>
          </cell>
        </row>
        <row r="80">
          <cell r="BQ80" t="str">
            <v>D McDonald</v>
          </cell>
        </row>
        <row r="81">
          <cell r="BQ81" t="str">
            <v>T Jiral</v>
          </cell>
        </row>
        <row r="82">
          <cell r="BQ82" t="str">
            <v>R Guillory / T Jiral</v>
          </cell>
        </row>
        <row r="83">
          <cell r="BQ83" t="str">
            <v>R Guillory</v>
          </cell>
        </row>
        <row r="84">
          <cell r="BQ84" t="str">
            <v>D Ingvardsen</v>
          </cell>
        </row>
        <row r="85">
          <cell r="BQ85" t="str">
            <v>R Westfahl</v>
          </cell>
        </row>
        <row r="86">
          <cell r="BG86" t="str">
            <v>4/25/97, R Prasad.</v>
          </cell>
          <cell r="BQ86" t="str">
            <v>D Ingvardsen</v>
          </cell>
        </row>
        <row r="87">
          <cell r="BQ87" t="str">
            <v>R Guillory</v>
          </cell>
        </row>
        <row r="88">
          <cell r="BQ88" t="str">
            <v>D Ingvardsen</v>
          </cell>
        </row>
        <row r="89">
          <cell r="BG89" t="str">
            <v>Meet w/ customer to explain QC and justification of no failure to landing collar / ball seat.</v>
          </cell>
          <cell r="BQ89" t="str">
            <v>T Jiral</v>
          </cell>
        </row>
        <row r="90">
          <cell r="BQ90" t="str">
            <v>J Craig / G Sonnier</v>
          </cell>
          <cell r="BS90" t="str">
            <v>G Sonnier, D Wright</v>
          </cell>
        </row>
        <row r="91">
          <cell r="BQ91" t="str">
            <v>R Prasad</v>
          </cell>
        </row>
        <row r="92">
          <cell r="BQ92" t="str">
            <v>K Rudd</v>
          </cell>
        </row>
        <row r="93">
          <cell r="BQ93" t="str">
            <v>T Jiral</v>
          </cell>
        </row>
        <row r="94">
          <cell r="AP94" t="str">
            <v xml:space="preserve">This engagement problem was verified during effort to 1) match threads by Svc Mgr, TST, Reg Engr, 2) review heat treat spec BHS C215, and visual inspection of shear planes on lock segments and body lock threads.  Body 020878500 work order: 607235; lock </v>
          </cell>
          <cell r="AQ94" t="str">
            <v>segments 019921700 wo: 607719, control segs 019921600 wo: 629373.  (rerun body and control segments are different pcs, same wo).  Rerun lock seg from Navig same wo, from Houma diff wo so will run Houma segs.  Rerun 3/8/97: good run, left pkr w/ 10 klb dn.</v>
          </cell>
          <cell r="AZ94" t="str">
            <v>condition.  Per M James, the dwg has been changed to include a heat treated matl = BMS A098.  A Field bulletin will be issued.</v>
          </cell>
          <cell r="BN94" t="str">
            <v>4/21/97 rec'd 6/9/97.</v>
          </cell>
          <cell r="BQ94" t="str">
            <v>D Ingvardsen</v>
          </cell>
          <cell r="BS94" t="str">
            <v>V Baum, D Wright</v>
          </cell>
        </row>
        <row r="95">
          <cell r="AP95" t="str">
            <v>would bottom against the J slots, loading the slots with this weight / momentum.  Ref metallurg. report for BPR 0060 - B Wilfhart, Navigation.</v>
          </cell>
          <cell r="AQ95" t="str">
            <v>On this well, middle zone had more gun weight (200' of guns) and top zone had 110' guns; thus, possible aid to getting packer down for 2nd zone was the wt of the guns; this weight was not available for the btm and top zones. J Lug sub 628632 wo # stamped.</v>
          </cell>
          <cell r="BG95" t="str">
            <v>Also, Navigation to obtain metallurg. testing results of this shear to confirm cause / direction of shear, etc.</v>
          </cell>
          <cell r="BQ95" t="str">
            <v>D Ingvardsen</v>
          </cell>
        </row>
        <row r="96">
          <cell r="BG96" t="str">
            <v>Rick Seale &amp; R Prasad (nothing's been done when it happened the last time?)</v>
          </cell>
          <cell r="BQ96" t="str">
            <v>D Ingvardsen</v>
          </cell>
        </row>
        <row r="97">
          <cell r="BQ97" t="str">
            <v>D Ingvardsen</v>
          </cell>
        </row>
        <row r="98">
          <cell r="BG98" t="str">
            <v>interfering w/ packer as RIH.  2nd run was good &amp; BOT obtained further sales thru the scraper run and junk pusher as a result of the BOT Cade's group involvement / troubleshooting / recommendations to customer.</v>
          </cell>
          <cell r="BQ98" t="str">
            <v>P Miser</v>
          </cell>
        </row>
        <row r="99">
          <cell r="BQ99" t="str">
            <v>B Guidry</v>
          </cell>
        </row>
        <row r="100">
          <cell r="BQ100" t="str">
            <v>D Parker</v>
          </cell>
        </row>
        <row r="101">
          <cell r="BQ101" t="str">
            <v>B Cowart</v>
          </cell>
        </row>
        <row r="102">
          <cell r="BQ102" t="str">
            <v>B Efthemes</v>
          </cell>
        </row>
        <row r="103">
          <cell r="BQ103" t="str">
            <v>D Ingvardsen</v>
          </cell>
        </row>
        <row r="104">
          <cell r="BQ104" t="str">
            <v>D Ingvardsen</v>
          </cell>
          <cell r="BS104" t="str">
            <v>N/A</v>
          </cell>
        </row>
        <row r="105">
          <cell r="BG105" t="str">
            <v>damage but also verify threads to the best of their ability."</v>
          </cell>
          <cell r="BQ105" t="str">
            <v>R Guillory</v>
          </cell>
        </row>
        <row r="106">
          <cell r="BQ106" t="str">
            <v>D Ingvardsen</v>
          </cell>
        </row>
        <row r="107">
          <cell r="BQ107" t="str">
            <v>R Guillory</v>
          </cell>
        </row>
        <row r="108">
          <cell r="BQ108" t="str">
            <v>L Francis</v>
          </cell>
        </row>
        <row r="109">
          <cell r="BQ109" t="str">
            <v>D Ingvardsen</v>
          </cell>
        </row>
        <row r="110">
          <cell r="BG110" t="str">
            <v>When this job was brought up at Cade 4/4/97 w/ FIRST, the slip assy was re-examined to determine root cause; we found, after beating on cone / tie sleeve, that rust build-up ket tie sleeve in bind w/ slip ring.</v>
          </cell>
          <cell r="BH110" t="str">
            <v>Per R White Navig AEG email 8/25/97, 'A field bulletin is issued to cover problems associated  with design, material and manufacturing concerns. Not warehouse neglect.'  Thus, add this check into R &amp; S whse procedure BPM 8-7 &amp; implement.</v>
          </cell>
          <cell r="BQ110" t="str">
            <v>N Qaisieh</v>
          </cell>
          <cell r="BS110" t="str">
            <v>N/A</v>
          </cell>
        </row>
        <row r="111">
          <cell r="BQ111" t="str">
            <v>R Guillory</v>
          </cell>
        </row>
        <row r="112">
          <cell r="AZ112" t="str">
            <v xml:space="preserve">once the setting sleeve was released. Then, with the upward pull to set the plug, the slip segment hung up on the control latch spacer and was pulled up and away from the other three slips. Further upward movement after releasing from the plug allowed </v>
          </cell>
          <cell r="BA112" t="str">
            <v xml:space="preserve">the setting sleeve to move down over the slip and hold it in place while pulling out of the hole. NOTE: This is the first recorded incident of this nature involving the N-1 bridge plug and the K-1 setting tool.  </v>
          </cell>
          <cell r="BG112" t="str">
            <v>B Efthemes suggested a bit and scraper be run prior to running the whipstock packer.  The plug  had been set with 45klb strain applied and 40 klb wt setdown, then tested with 1200 # for 30 minutes.  Dave Bjork (engineer) was the servicemna on the job.</v>
          </cell>
          <cell r="BQ112" t="str">
            <v>R Westfahl</v>
          </cell>
        </row>
        <row r="113">
          <cell r="BQ113" t="str">
            <v>D Ingvardsen</v>
          </cell>
        </row>
        <row r="114">
          <cell r="AP114" t="str">
            <v xml:space="preserve">accounts for the jobs where you must pull out of the rope socket and fish the WLPSA out of the hole.   DO NOT RUN THESE PACKERS ON THE ISZE 10 IN THE LIGHT WEIGHT END OF THEIR CSG RANGES.  The tech manual units are being changed accordingly."  This </v>
          </cell>
          <cell r="AQ114" t="str">
            <v>tech unit 8207 has not yet been changed; it's dated Nov 20, 1981.</v>
          </cell>
          <cell r="BG114" t="str">
            <v>~0.560" which is on the small end of the adjusted diameter table.  After adjusting for the shape of the release stud (1.2X UTS), we would expect a fracture load around 31,000 lbs.  This rough approx is very close to the desired range (32,000-33,000 lbs).</v>
          </cell>
          <cell r="BQ114" t="str">
            <v>D Ingvardsen</v>
          </cell>
          <cell r="BS114" t="str">
            <v>N Johnson</v>
          </cell>
        </row>
        <row r="115">
          <cell r="AP115" t="str">
            <v>being that it locate the first profile sub that it ocmes to.</v>
          </cell>
          <cell r="BQ115" t="str">
            <v>T Jiral</v>
          </cell>
        </row>
        <row r="116">
          <cell r="AP116" t="str">
            <v xml:space="preserve">engr made decision to try to rotate slowly to left while s/o off thru window; liner did not go.  When we picked up out of window, string wt was shy by 30 klb (liner wt 30 klb when we mu hgr assy; thru, we unscrewed something.  PU above fish &amp; circ </v>
          </cell>
          <cell r="AQ116" t="str">
            <v>(3/26/97 0200 hr).  POOH 2100 hr, L/D hgr assy &amp; 6 jts 5" csg (2230 hr); spent next 2.5 days (from 3/26/97 at 2230 to 3/30/97 at 1300) to get all of 5" csg out of hole.</v>
          </cell>
          <cell r="BQ116" t="str">
            <v>D Wade / J Solari</v>
          </cell>
        </row>
        <row r="117">
          <cell r="AZ117" t="str">
            <v>3)  The high shear out on the ball seat has not yet been addressed by engr (ref BPRs 001, 100, 110) &amp; will hopefully be addressed after this recurrence.</v>
          </cell>
          <cell r="BQ117" t="str">
            <v>T Jiral</v>
          </cell>
        </row>
        <row r="118">
          <cell r="AZ118" t="str">
            <v xml:space="preserve"> improper inflation.  The application setup must be improved per M Dion 4/29/97.</v>
          </cell>
          <cell r="BG118" t="str">
            <v>preventive action.  Awaiting 1) distribution of procedural addressing of problems at job setup by GP tools and 2) application improvement by RW, RV, &amp; MD.</v>
          </cell>
          <cell r="BQ118" t="str">
            <v>M Dion</v>
          </cell>
        </row>
        <row r="119">
          <cell r="BQ119" t="str">
            <v>T Jiral</v>
          </cell>
        </row>
        <row r="120">
          <cell r="BG120" t="str">
            <v>until an additional $50000. is received in concessions; this additional 5% will not be in effect per J Solari 7/2/97.</v>
          </cell>
          <cell r="BQ120" t="str">
            <v>R Guillory</v>
          </cell>
          <cell r="BS120" t="str">
            <v>L Sibley</v>
          </cell>
        </row>
        <row r="121">
          <cell r="BQ121" t="str">
            <v>R Lane</v>
          </cell>
        </row>
        <row r="122">
          <cell r="BQ122" t="str">
            <v>R Lane</v>
          </cell>
        </row>
        <row r="123">
          <cell r="BQ123" t="str">
            <v>R Lane</v>
          </cell>
        </row>
        <row r="124">
          <cell r="BQ124" t="str">
            <v>D Wade / J Solari</v>
          </cell>
        </row>
        <row r="125">
          <cell r="BQ125" t="str">
            <v>R Lane</v>
          </cell>
        </row>
        <row r="126">
          <cell r="BQ126" t="str">
            <v>Z Crouch</v>
          </cell>
        </row>
        <row r="127">
          <cell r="BG127" t="str">
            <v>Awaiting burned pkr &amp; seal assy to come back in to shop to review possible causes &amp; disposition.</v>
          </cell>
          <cell r="BQ127" t="str">
            <v>O Rudesill</v>
          </cell>
        </row>
        <row r="128">
          <cell r="BG128" t="str">
            <v>POTV was open but was partially open when at surface and then could not reset packer, 3) On top zone, thought POTV was opened but was closed and MRCV would not open and POTV when at surface found with sand plug.  See FIRST reports for damage seen to pkrs.</v>
          </cell>
          <cell r="BQ128" t="str">
            <v>L Hill, J Knippa</v>
          </cell>
        </row>
        <row r="129">
          <cell r="BQ129" t="str">
            <v>R Prasad</v>
          </cell>
          <cell r="BS129" t="str">
            <v>L Scheier</v>
          </cell>
        </row>
        <row r="130">
          <cell r="BQ130" t="str">
            <v>R Guillory, Z Crouch</v>
          </cell>
          <cell r="BS130" t="str">
            <v>M McMichael</v>
          </cell>
        </row>
        <row r="131">
          <cell r="BG131" t="str">
            <v>as-is.</v>
          </cell>
          <cell r="BQ131" t="str">
            <v>D Ingvardsen</v>
          </cell>
        </row>
        <row r="132">
          <cell r="BQ132" t="str">
            <v>R Guillory</v>
          </cell>
        </row>
        <row r="133">
          <cell r="AP133" t="str">
            <v xml:space="preserve">UPON ASSEMBLING 4 MOTORS IN A PACK , THE PACK RAN AT 100MA. 160VOLTS.AFTER TALKING WITH ROBIN ROBINSON IT WAS DECIDED NOT TO RUN THESE MOTORS AGAIN. WE WILL WAIT ON DELIVERY OF NEW MOTORS THAT  HAVE BEEN TESTED AT 300 DEGS.  </v>
          </cell>
          <cell r="AQ133" t="str">
            <v>3.  PBP HAD PARTIALLY INFLATED AND HAD TO BE PULLED OFF OF AT END OF TUBING. LEFT IN HOLE</v>
          </cell>
          <cell r="AZ133" t="str">
            <v>WAS IN PEARLAND. HE SAID HE Would have the w/l people call them and set up the job.  I called Steve back to let him know what was going to happed.  At no time did anyone from Lafayette tell us they were going to do a job of any kind.  If they did we would</v>
          </cell>
          <cell r="BA133" t="str">
            <v xml:space="preserve">would have given them the info we had." </v>
          </cell>
          <cell r="BG133" t="str">
            <v>mention of an inflatable by the customer.  In fact, Pearland indicated that the customer was looking for a petal basket. . . .we do not need to lose any business due to lack of product knowledge."</v>
          </cell>
          <cell r="BN133" t="str">
            <v>BPR &amp; awareness note distributed to GC sales mgmt &amp; thr-tbg dist mgrs via email 8/26/97.</v>
          </cell>
          <cell r="BQ133" t="str">
            <v>D Needham / K Rudd</v>
          </cell>
          <cell r="BS133" t="str">
            <v>cc: M Eddy</v>
          </cell>
        </row>
        <row r="134">
          <cell r="BQ134" t="str">
            <v>(customer)</v>
          </cell>
        </row>
        <row r="135">
          <cell r="BQ135" t="str">
            <v>D Ingvardsen</v>
          </cell>
          <cell r="BS135" t="str">
            <v>N/A</v>
          </cell>
        </row>
        <row r="136">
          <cell r="AP136" t="str">
            <v>wellhead (wear bushing or ram body) as POOH with this assy, resulting in impact load which caused shear.</v>
          </cell>
          <cell r="AZ136" t="str">
            <v xml:space="preserve">from subject connection.  3) Load marks on packoff top surface is 180 degrees from the point of max material left of blast joint pin in box connection of packoff; thus, impact loading, (I.e., as pooh thru wellhead per co rep on location) provided </v>
          </cell>
          <cell r="BA136" t="str">
            <v>sufficient load to shear the blast joint out of the packoff.</v>
          </cell>
          <cell r="BG136" t="str">
            <v>are not exceeded; and (b) Remove 2" line pipe threads by using 3:2 one piece swage from 3" male sub to 2" WECO 1502 female thread half on all TD swivels in all BOT liner districts (send ltr)</v>
          </cell>
          <cell r="BN136" t="str">
            <v>slowly &amp; having safety mtg on locn to be distrib as above.  (b) Per mtg w/ Amoco 5/22/97, BOT recommends Amoco cover points (2) &amp; (3) regarding safety meeting topics (chicksan support, pooh, etc.) on location prior to job start.</v>
          </cell>
          <cell r="BQ136" t="str">
            <v>R Prasad / J Solari</v>
          </cell>
          <cell r="BS136" t="str">
            <v>K Hedrick</v>
          </cell>
        </row>
        <row r="137">
          <cell r="BQ137" t="str">
            <v>G Davis</v>
          </cell>
        </row>
        <row r="138">
          <cell r="BQ138" t="str">
            <v>G Sonnier</v>
          </cell>
          <cell r="BS138" t="str">
            <v>G Sonnier, D Wright</v>
          </cell>
        </row>
        <row r="139">
          <cell r="AP139" t="str">
            <v xml:space="preserve">setting tool area).  The total load below the hydroset was 100760# but the tool is rated for 84000#.  Suggested setting procedure per FIRST report is: at pu wt, apply P1 &amp; activate slips then s/o &amp; continue w/ setting pressures, accounting for wt hanging </v>
          </cell>
          <cell r="AQ139" t="str">
            <v>below the tools.</v>
          </cell>
          <cell r="AZ139" t="str">
            <v>setting tool limitations (tailpipe load) was known before running it in the hole.</v>
          </cell>
          <cell r="BG139" t="str">
            <v>called D McDonald requesting adapter part to look at since they're fishing for junk in the well; R Westfahl, R Prasad, &amp; D McDonald took one out there &amp; tried to determine what the junk fished was: it was jet cutter pc - not BOT).</v>
          </cell>
          <cell r="BQ139" t="str">
            <v>D Ruddock / L Hill</v>
          </cell>
          <cell r="BS139" t="str">
            <v>D Wright</v>
          </cell>
        </row>
        <row r="140">
          <cell r="BQ140" t="str">
            <v>R Lane</v>
          </cell>
          <cell r="BS140" t="str">
            <v>N/A</v>
          </cell>
        </row>
        <row r="141">
          <cell r="BQ141" t="str">
            <v>B Guidry</v>
          </cell>
        </row>
        <row r="142">
          <cell r="BQ142" t="str">
            <v>D Parker</v>
          </cell>
          <cell r="BS142" t="str">
            <v>G Sonnier, D Wright</v>
          </cell>
        </row>
        <row r="143">
          <cell r="BQ143" t="str">
            <v>D Parker</v>
          </cell>
        </row>
        <row r="144">
          <cell r="BG144" t="str">
            <v>mgmt for prevention of recurrence.; submit to pke svc mgmt for final costs incurred.</v>
          </cell>
          <cell r="BQ144" t="str">
            <v>R Frisby / F Breland</v>
          </cell>
        </row>
        <row r="145">
          <cell r="AZ145" t="str">
            <v>requiring less torque to back off than the laft hand torque required to shear the emerg release pins (qty 3) of HR tool.</v>
          </cell>
          <cell r="BQ145" t="str">
            <v>Arthur White / R Prasad</v>
          </cell>
          <cell r="BS145" t="str">
            <v>N Johnson</v>
          </cell>
        </row>
        <row r="146">
          <cell r="BQ146" t="str">
            <v>G Davis</v>
          </cell>
          <cell r="BS146" t="str">
            <v>N/A</v>
          </cell>
        </row>
        <row r="147">
          <cell r="BQ147" t="str">
            <v>D Ingvardsen</v>
          </cell>
        </row>
        <row r="148">
          <cell r="BQ148" t="str">
            <v>L Francis / D Parker / R Prasad</v>
          </cell>
          <cell r="BS148" t="str">
            <v>cc: P Miser</v>
          </cell>
        </row>
        <row r="149">
          <cell r="BQ149" t="str">
            <v>R Westfahl</v>
          </cell>
          <cell r="BS149" t="str">
            <v>cc: V Baum,  D Wright</v>
          </cell>
        </row>
        <row r="150">
          <cell r="BQ150" t="str">
            <v>J Thornton</v>
          </cell>
        </row>
        <row r="151">
          <cell r="BG151" t="str">
            <v>along with Chesapeake recent trouble history to Dist &amp; region mgmt for review and preventive action where necessary.  Note: 40% of all BPRs for Chesapeake derived from District root causes.</v>
          </cell>
          <cell r="BQ151" t="str">
            <v>N Johnson</v>
          </cell>
          <cell r="BS151" t="str">
            <v>cc: V Baum, N Johnson, D Wright</v>
          </cell>
        </row>
        <row r="152">
          <cell r="BG152" t="str">
            <v>(Material certs are required for every job per Baker Procedures Manual section 5.0).  5) Copy this BPR to all Cade Svc mgmt.  6) T Kirkpatrick: check your mandrel order sent to Specialty yesterday to ensure that these three dim's are ok on YOUR mandrel.</v>
          </cell>
          <cell r="BQ152" t="str">
            <v>S Kirsten / Specialty</v>
          </cell>
          <cell r="BS152" t="str">
            <v>cc: K Smith, Houston</v>
          </cell>
        </row>
        <row r="153">
          <cell r="AP153" t="str">
            <v xml:space="preserve">verify BHN on neck near shear &amp; 317 BHN = 34 Rc was measured.  Although, the neck area &amp; especially nut top face has torch marks as if it was heated possibly when removing it from the overshot grapple; this would affect the hardness measurements at the </v>
          </cell>
          <cell r="AQ153" t="str">
            <v>neck.  The 34 Rc converts to 155 ksi tensile rating which would allow tensile failure of  (2.58^2-2.195^2)*.7854*155ksi = 224 klb tensile load rating of this neck crossection thru the oring groove which it sheared thru.</v>
          </cell>
          <cell r="BG153" t="str">
            <v>Note: this was the first run of this adapter nut, procured from Ideal Machine shop; still awaiting material certs from Ideal via Cade pkr svc mgmt.  Plans on location to run an HES completion packer (which was part of original plans anyways) above BOT pkr</v>
          </cell>
          <cell r="BQ153" t="str">
            <v>O Rudesill</v>
          </cell>
          <cell r="BS153" t="str">
            <v>V Baum, N Johnson, cc: D Wright</v>
          </cell>
        </row>
        <row r="154">
          <cell r="BQ154" t="str">
            <v>T Begnaud</v>
          </cell>
          <cell r="BS154" t="str">
            <v>cc: V Baum</v>
          </cell>
        </row>
        <row r="155">
          <cell r="BQ155" t="str">
            <v>R Prasad</v>
          </cell>
          <cell r="BS155" t="str">
            <v>N Johnson</v>
          </cell>
        </row>
        <row r="156">
          <cell r="BQ156" t="str">
            <v>R Prasad</v>
          </cell>
          <cell r="BS156" t="str">
            <v>N Johnson</v>
          </cell>
        </row>
        <row r="157">
          <cell r="BQ157" t="str">
            <v>Arthur White</v>
          </cell>
          <cell r="BS157" t="str">
            <v>N Johnson</v>
          </cell>
        </row>
        <row r="158">
          <cell r="BQ158" t="str">
            <v>M Haubert</v>
          </cell>
          <cell r="BS158" t="str">
            <v>M Haubert, cc: B Moran</v>
          </cell>
        </row>
        <row r="159">
          <cell r="BQ159" t="str">
            <v>R Westfahl</v>
          </cell>
          <cell r="BS159" t="str">
            <v>D McDonald</v>
          </cell>
        </row>
        <row r="160">
          <cell r="BQ160" t="str">
            <v>R Prasad / L Francis</v>
          </cell>
          <cell r="BS160" t="str">
            <v>D McDonald</v>
          </cell>
        </row>
        <row r="161">
          <cell r="BN161" t="str">
            <v>Ref BPM sect 12</v>
          </cell>
          <cell r="BQ161" t="str">
            <v>Arthur White / R Prasad</v>
          </cell>
          <cell r="BS161" t="str">
            <v>J Craig</v>
          </cell>
        </row>
        <row r="162">
          <cell r="BQ162" t="str">
            <v>A White / R Prasad</v>
          </cell>
          <cell r="BS162" t="str">
            <v>cc: L Scheier</v>
          </cell>
        </row>
        <row r="163">
          <cell r="BQ163" t="str">
            <v>R Lane</v>
          </cell>
          <cell r="BS163" t="str">
            <v xml:space="preserve">cc: J Solari / A White </v>
          </cell>
        </row>
        <row r="165">
          <cell r="BQ165" t="str">
            <v>D Ingvardsen</v>
          </cell>
          <cell r="BS165" t="str">
            <v>cc: D Lebouef</v>
          </cell>
        </row>
        <row r="166">
          <cell r="BQ166" t="str">
            <v>R Prasad / J Solari</v>
          </cell>
          <cell r="BS166" t="str">
            <v>cc: N Johnson</v>
          </cell>
        </row>
        <row r="167">
          <cell r="BG167" t="str">
            <v>it went downhole which makes it seem as if the pdp was broken before reaching the running tool, I.e., maybe in the LC head; yet, question still remains why it, nor the bottom pc, never fully exited the running tool assy.</v>
          </cell>
          <cell r="BH167" t="str">
            <v>cause undetermined; reviewed by A White, Z Crouch; send dart pcs to J Goodson for failure analysis per Z Crouch</v>
          </cell>
          <cell r="BQ167" t="str">
            <v>R Lane</v>
          </cell>
          <cell r="BS167" t="str">
            <v>cc: M McMichael</v>
          </cell>
        </row>
        <row r="168">
          <cell r="BQ168" t="str">
            <v>D Ott</v>
          </cell>
          <cell r="BS168" t="str">
            <v>D Price</v>
          </cell>
        </row>
        <row r="169">
          <cell r="BG169" t="str">
            <v xml:space="preserve">in stock, and in order to 2) not have to explain to the customer why the packers in the wells so far have different Ods on the top body heads (ref BPRs 0009, 0096, 0146); D Rothers has indicated it would take an engineering design change to do so since </v>
          </cell>
          <cell r="BH169" t="str">
            <v>the BH &amp; BHH setting tool would have to accommodate this redesign.  Submit BPR to Navigation requesting review of these BPRs for final PA.  M Smith &amp; D Boggs stated 6/18/97 we need to go with the special sleeve vs turning the OD since 450pm-engr not there</v>
          </cell>
          <cell r="BQ169" t="str">
            <v>J Chandler</v>
          </cell>
          <cell r="BS169" t="str">
            <v>V Baum</v>
          </cell>
        </row>
        <row r="170">
          <cell r="BQ170" t="str">
            <v>N/A</v>
          </cell>
          <cell r="BS170" t="str">
            <v>cc: P Miser</v>
          </cell>
        </row>
        <row r="171">
          <cell r="BQ171" t="str">
            <v>B Vincent 6/30/97</v>
          </cell>
          <cell r="BS171" t="str">
            <v>?</v>
          </cell>
        </row>
        <row r="172">
          <cell r="BQ172" t="str">
            <v>B Vincent 6/30/97</v>
          </cell>
          <cell r="BS172" t="str">
            <v>G Sonnier</v>
          </cell>
        </row>
        <row r="173">
          <cell r="BQ173" t="str">
            <v>B Vincent 6/30/97</v>
          </cell>
          <cell r="BS173" t="str">
            <v>?</v>
          </cell>
        </row>
        <row r="174">
          <cell r="BQ174" t="str">
            <v>O Rudesill</v>
          </cell>
          <cell r="BS174" t="str">
            <v>cc:  P Miser</v>
          </cell>
        </row>
        <row r="175">
          <cell r="BQ175" t="str">
            <v>R Prasad</v>
          </cell>
          <cell r="BS175" t="str">
            <v>cc: N Johnson</v>
          </cell>
        </row>
        <row r="176">
          <cell r="BG176" t="str">
            <v xml:space="preserve">VERIFICATION THAT TST HAS BEEN ISSUED A TECH UNIT BEFORE HE IS PERMITTED TO RUN THE JOB, 2) (a) STANDARDIZE MPT PROCEDURES FOR ALL LOAD-BEARING PACKER RENTAL TOOLS &amp; SERIALIZATION OF XO'S, (b) STANDARDIZE PROCEDURE TO TEST ALL PACKER RUNNING ASSY'S AT </v>
          </cell>
          <cell r="BH176" t="str">
            <v>EQPT LOADOUT, 3) (a) AT SHOP, DISTINGUISH RENTAL TOOLS (TEST M.S. + XO) FROM SALABLES BY STANDARDIZING IDENTIFICATION OF RENTAL TOOLS (I.E., BY PAINTING OR SERIALIZING THE RENTAL TOOLS TO SEPARATE THEM FROM COMPLETION TOOLS), &amp; (b) PREJOB BRIEFING TO TST}</v>
          </cell>
          <cell r="BQ176" t="str">
            <v>O Rudesill</v>
          </cell>
          <cell r="BS176" t="str">
            <v>Larry Fregia</v>
          </cell>
        </row>
        <row r="177">
          <cell r="AP177" t="str">
            <v xml:space="preserve"> see plug shear, incr to 56 spm, 1300 psi which incr to 1450 psi; at 1310 stks, slowed to 30 spm, 700 psi; pumped calc volumn 1420 stks; did not bump plugs; pu &amp; set zxp; good shear at 70 klb; put add'l 25 klb (string wt); pu &amp; reversed,</v>
          </cell>
          <cell r="AQ177" t="str">
            <v xml:space="preserve"> no cmt; 39 spm, 600 psi; 1530: pooh, 1830: lay down 2RH; 7/7/97, 0730: drill Fl vlv cont in hole; had drag in some spots, gih, tag lc, no cmt on top; 7/8/97, 0530: rih BJ pkr, 0900: test ann 3 ksi, ok, pump in 3.5 bpm, 1300 psi down dp.</v>
          </cell>
          <cell r="AZ177" t="str">
            <v xml:space="preserve">location.  Thus, we have no verification of this possiblity as a root cause.  Possibility (2): If equalizing ports of both slick joint &amp; attached lwp are plugged off, a differential pressure may allow plug to prematurely shear; no verification of this. </v>
          </cell>
          <cell r="BA177" t="str">
            <v xml:space="preserve">Possibility (3): Upon releasing from liner by pu #', shucked lwp from slick stinger if pu across a restriction.  Possibility (4): Bonding of Al to nitrile failure.  NONE OF THESE POSSIBILITIES HAVE SUFFICIENT VERIFICATION FOR CONFIRMATION OF ROOT CAUSE.  </v>
          </cell>
          <cell r="BB177" t="str">
            <v>ref ph conversation w/ L Sibley, J Solari, R Prasad 7/21/97</v>
          </cell>
          <cell r="BQ177" t="str">
            <v>R Lane</v>
          </cell>
          <cell r="BS177" t="str">
            <v>L Sibley</v>
          </cell>
        </row>
        <row r="178">
          <cell r="BQ178" t="str">
            <v>Mike Jenkins</v>
          </cell>
          <cell r="BS178" t="str">
            <v>Mike Jenkins</v>
          </cell>
        </row>
        <row r="179">
          <cell r="AZ179" t="str">
            <v xml:space="preserve">2) (a) Sufficient friction (I.e., weight hanging from storn packer and / or friction between packer unloader and mandrel) did not exist to allow torque to reach the twin thread safety joint to allow release via right hand rotation.  (b) The drag blocks </v>
          </cell>
          <cell r="BA179" t="str">
            <v xml:space="preserve">and slips and elements will not aid in obtaining the required friction to release the twin thread safety joint in this model tool (model J) since no means of torque control exists in the J sub, versus the L or D model which both have torque control </v>
          </cell>
          <cell r="BB179" t="str">
            <v>mechanisms in the packer to prevent swiveling of mandrel thru packer in effort to release from it.</v>
          </cell>
          <cell r="BG179" t="str">
            <v>blocks and slips and elements to aid in releasing the twin thread safety joint.  G Sonnier &amp; L Francis to followup to confirm standardization in this district.  (Further followup would be to replace existing Model J storm packers with other model).</v>
          </cell>
          <cell r="BQ179" t="str">
            <v>R White, J Chandler, G Sonnier</v>
          </cell>
          <cell r="BS179" t="str">
            <v>G Sonnier</v>
          </cell>
        </row>
        <row r="181">
          <cell r="BQ181" t="str">
            <v xml:space="preserve">Ben Holmes </v>
          </cell>
          <cell r="BS181" t="str">
            <v>cc: G Sonnier</v>
          </cell>
        </row>
        <row r="182">
          <cell r="AP182" t="str">
            <v>in order for 7500 psi to allow seals to be pumped out of sleeve; calc of 7500 psi against area from dp ID to packoff OD gives more load than weight of dp in mud.</v>
          </cell>
          <cell r="AZ182" t="str">
            <v xml:space="preserve">sleeve).  At the time this cause was discovered as potential recurrence, the flow area in the bottom crossover / bottom sleeve was not changed.  But flow area for lead lwp seems sufficient to equalize during rih &amp; prevent pressure trap. (2) Possibly </v>
          </cell>
          <cell r="BA182" t="str">
            <v xml:space="preserve">dropped wrong plug for lead lwp, but Emmott Rd tests verify that this would allow 4500 psi, not 7500 psi, to blow both lwp's with follow pdp latched in follow lwp.  (3) Probable plug in liner or on backside, preventing circulation once the lead lwp </v>
          </cell>
          <cell r="BB182" t="str">
            <v>sheared from run tool, since seals were pumped out.</v>
          </cell>
          <cell r="BQ182" t="str">
            <v>R Lane, L Scheier</v>
          </cell>
          <cell r="BS182" t="str">
            <v>L Scheier</v>
          </cell>
        </row>
        <row r="183">
          <cell r="BQ183" t="str">
            <v>R Lane, L Scheier</v>
          </cell>
          <cell r="BS183" t="str">
            <v>L Scheier</v>
          </cell>
        </row>
        <row r="184">
          <cell r="BG184" t="str">
            <v xml:space="preserve">here and in other GC districts.  (qty about 8 to 10 threads need to be checked here, LB)  Per Z Crouch email dtd 8/4/97, we are to go directly to K Berry requesting gages from Houston to check our stock; email was forwarded to K Berry requesting gages </v>
          </cell>
          <cell r="BH184" t="str">
            <v>on 8/4/97.</v>
          </cell>
          <cell r="BQ184" t="str">
            <v>R Lane</v>
          </cell>
          <cell r="BS184" t="str">
            <v>?</v>
          </cell>
        </row>
        <row r="185">
          <cell r="BQ185" t="str">
            <v>R Lane</v>
          </cell>
          <cell r="BS185" t="str">
            <v>M Dion</v>
          </cell>
        </row>
        <row r="186">
          <cell r="BQ186" t="str">
            <v>R Lane</v>
          </cell>
          <cell r="BS186" t="str">
            <v>N Johnson</v>
          </cell>
        </row>
        <row r="187">
          <cell r="BG187" t="str">
            <v>adapter to his attn asap &amp; count total # of "old style mandrels" in our stock.  8/12/97, Z Crouch &amp; K Smith visited Cade district to check 1) p gage by inserting another in line to verify readings (extra gage =250 psi + orig gage). &amp; 2) tool assy prior to</v>
          </cell>
          <cell r="BH187" t="str">
            <v>test, &amp; 3) when torquing  down  on set screws holding handle adpater to mandrel, what test effects.</v>
          </cell>
          <cell r="BQ187" t="str">
            <v>R Lane</v>
          </cell>
          <cell r="BS187" t="str">
            <v>N/A</v>
          </cell>
        </row>
        <row r="188">
          <cell r="BQ188" t="str">
            <v>R Westfahl</v>
          </cell>
          <cell r="BS188" t="str">
            <v>P Miser</v>
          </cell>
        </row>
        <row r="189">
          <cell r="BQ189" t="str">
            <v>O Rudews9ill / W Stovall</v>
          </cell>
          <cell r="BS189" t="str">
            <v>?</v>
          </cell>
        </row>
        <row r="190">
          <cell r="BQ190" t="str">
            <v>R Lane from B Vincent 8/15/97</v>
          </cell>
          <cell r="BS190" t="str">
            <v>?</v>
          </cell>
        </row>
        <row r="191">
          <cell r="BQ191" t="str">
            <v>(Customer)</v>
          </cell>
          <cell r="BS191" t="str">
            <v>cc: M McCMichael</v>
          </cell>
        </row>
        <row r="192">
          <cell r="BQ192" t="str">
            <v>R Lane fom K Rudd 8/18/97</v>
          </cell>
          <cell r="BS192" t="str">
            <v>J Oliver</v>
          </cell>
        </row>
        <row r="193">
          <cell r="BQ193" t="str">
            <v>R Lane fom K Rudd 8/18/97</v>
          </cell>
          <cell r="BS193" t="str">
            <v>D Chambers</v>
          </cell>
        </row>
        <row r="194">
          <cell r="BQ194" t="str">
            <v>K Rudd</v>
          </cell>
        </row>
        <row r="195">
          <cell r="BN195" t="str">
            <v>concerning desired location of PBRs. PBRs will allow running of seal bore tool to inflate small ECPs.</v>
          </cell>
          <cell r="BQ195" t="str">
            <v>R Westfahl / T Begnaud / R Lane</v>
          </cell>
          <cell r="BS195" t="str">
            <v>Stan Miller</v>
          </cell>
        </row>
        <row r="196">
          <cell r="BQ196" t="str">
            <v>D Dunagin, B Cowart, J Solari, O Rudesill</v>
          </cell>
          <cell r="BS196" t="str">
            <v>D Dunagin, B Cowart</v>
          </cell>
        </row>
        <row r="198">
          <cell r="BG198" t="str">
            <v>3.  CONTINUED JOB; SUBMIT BPR TO HOUSTON EMMOTT REQUESTING CAUSE ANALYSIS.</v>
          </cell>
          <cell r="BQ198" t="str">
            <v>H Melville, Z Crouch</v>
          </cell>
          <cell r="BS198" t="str">
            <v>K Hedrick</v>
          </cell>
        </row>
        <row r="199">
          <cell r="BQ199" t="str">
            <v>B Holmes</v>
          </cell>
          <cell r="BS199" t="str">
            <v>cc: S Chauffe</v>
          </cell>
        </row>
        <row r="200">
          <cell r="BQ200" t="str">
            <v>R Lane</v>
          </cell>
          <cell r="BS200" t="str">
            <v>cc: M Dion</v>
          </cell>
        </row>
        <row r="201">
          <cell r="BG201" t="str">
            <v>slug down dp; tih.</v>
          </cell>
          <cell r="BQ201" t="str">
            <v>N Johnson</v>
          </cell>
          <cell r="BS201" t="str">
            <v>N Johnson</v>
          </cell>
        </row>
        <row r="204">
          <cell r="BS204" t="str">
            <v>P. Miser</v>
          </cell>
        </row>
        <row r="205">
          <cell r="BS205" t="str">
            <v>D Wright</v>
          </cell>
        </row>
        <row r="206">
          <cell r="BQ206" t="str">
            <v>T. Sigur</v>
          </cell>
          <cell r="BS206" t="str">
            <v>D. Price</v>
          </cell>
        </row>
        <row r="207">
          <cell r="BS207" t="str">
            <v>M. Holten</v>
          </cell>
        </row>
        <row r="208">
          <cell r="BS208" t="str">
            <v>L. Sibley</v>
          </cell>
        </row>
        <row r="209">
          <cell r="BQ209" t="str">
            <v>Z. Crouch</v>
          </cell>
          <cell r="BS209" t="str">
            <v>K. Hedrick</v>
          </cell>
        </row>
        <row r="210">
          <cell r="BQ210" t="str">
            <v xml:space="preserve"> D. Smith</v>
          </cell>
          <cell r="BS210" t="str">
            <v>D. Price</v>
          </cell>
        </row>
        <row r="211">
          <cell r="BQ211" t="str">
            <v>O. Ruddesill</v>
          </cell>
        </row>
        <row r="212">
          <cell r="BQ212" t="str">
            <v>Robbie Lane</v>
          </cell>
        </row>
        <row r="213">
          <cell r="BQ213" t="str">
            <v>Robbie Lane</v>
          </cell>
        </row>
      </sheetData>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 BPR0058"/>
      <sheetName val="PA BPR0041"/>
      <sheetName val="PA BPR010"/>
      <sheetName val="PA BPR005"/>
      <sheetName val="PA BPR001"/>
      <sheetName val="Quotes"/>
      <sheetName val="Count Chart per Cause"/>
      <sheetName val="Open Count Chart per Cause"/>
      <sheetName val="Open Time Chart per Cause"/>
      <sheetName val="Cost per Cause Chart"/>
      <sheetName val="BPR Form from Cade Log"/>
      <sheetName val="CREDIT FORM"/>
      <sheetName val="b6413bprlb0221"/>
      <sheetName val="b6413bprlb18111"/>
      <sheetName val="BPR LOG"/>
      <sheetName val="1212-A"/>
      <sheetName val="Product Lines"/>
      <sheetName val="CADE SUMMARY"/>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row r="1">
          <cell r="F1" t="str">
            <v>Summary</v>
          </cell>
          <cell r="P1" t="str">
            <v>DR #</v>
          </cell>
          <cell r="AS1" t="str">
            <v>PERFORMANCE / NONCONFORMANCE, CONT'D</v>
          </cell>
          <cell r="BL1" t="str">
            <v>CORRECTIVE ACTION cont'd</v>
          </cell>
          <cell r="BS1" t="str">
            <v>PREVENTIVE ACTION cont'd</v>
          </cell>
        </row>
        <row r="2">
          <cell r="F2" t="str">
            <v>Slimhole plugs; 1st plug never sheared out of landing collar.</v>
          </cell>
        </row>
        <row r="3">
          <cell r="F3" t="str">
            <v>ball never seated so hanger unset.</v>
          </cell>
        </row>
        <row r="4">
          <cell r="F4" t="str">
            <v>Blanking dims wrong f/ space nipple &amp; ball catcher bushing.</v>
          </cell>
          <cell r="P4">
            <v>26066</v>
          </cell>
        </row>
        <row r="5">
          <cell r="F5" t="str">
            <v>HR profile shipped instead of RH as ordered.</v>
          </cell>
        </row>
        <row r="6">
          <cell r="F6" t="str">
            <v>Backed off 2RH before setting CMC; LH set squeeze tool in hole.</v>
          </cell>
        </row>
        <row r="7">
          <cell r="F7" t="str">
            <v>Holes misdrilled in landing collar - leaked during P to set pkr</v>
          </cell>
        </row>
        <row r="8">
          <cell r="F8" t="str">
            <v>Ball no seat so had to rely on bumped plugs to set hgr</v>
          </cell>
        </row>
        <row r="9">
          <cell r="F9" t="str">
            <v>Interim - 1st run of ZXP w/ 5 pins initial shear vs. 9 - good run</v>
          </cell>
        </row>
        <row r="10">
          <cell r="F10" t="str">
            <v>Something sealed / bumped early preventing complete cmt job; well on vaccuum</v>
          </cell>
        </row>
        <row r="11">
          <cell r="F11" t="str">
            <v>Mandrel f/ Hyd setting tool f/ inserts sheared @ thread during setting tool test.</v>
          </cell>
        </row>
        <row r="12">
          <cell r="F12" t="str">
            <v>Floats did not hold?</v>
          </cell>
          <cell r="P12" t="str">
            <v>N/A</v>
          </cell>
        </row>
        <row r="13">
          <cell r="F13" t="str">
            <v>Liner top leak</v>
          </cell>
          <cell r="P13" t="str">
            <v>N/A</v>
          </cell>
        </row>
        <row r="14">
          <cell r="F14" t="str">
            <v>ZXP leaked at stab-up &amp; test in shop</v>
          </cell>
          <cell r="P14" t="str">
            <v>N/A</v>
          </cell>
        </row>
        <row r="15">
          <cell r="F15" t="str">
            <v>Collapsed setting sleeve</v>
          </cell>
          <cell r="P15" t="str">
            <v>N/A</v>
          </cell>
        </row>
        <row r="16">
          <cell r="F16" t="str">
            <v>LC head shipped to wrong destination</v>
          </cell>
          <cell r="P16" t="str">
            <v>verbal</v>
          </cell>
        </row>
        <row r="17">
          <cell r="F17" t="str">
            <v>Wrong XO shipped to District from Emmott; This XO had nonconforming label also</v>
          </cell>
          <cell r="P17">
            <v>99690</v>
          </cell>
        </row>
        <row r="18">
          <cell r="F18" t="str">
            <v>Liner wiper plug on end of running tool upon POOH w/ running tool</v>
          </cell>
          <cell r="P18" t="str">
            <v>N/A</v>
          </cell>
        </row>
        <row r="19">
          <cell r="F19" t="str">
            <v>Did not set zxp &amp; had troubles POOH</v>
          </cell>
        </row>
        <row r="20">
          <cell r="F20" t="str">
            <v>ZXP would not drift upon receipt from Emmott to Harvey shop; repeated on 3 other ZXPs.</v>
          </cell>
        </row>
        <row r="21">
          <cell r="F21" t="str">
            <v>HR running tool did not release; had to emerg off</v>
          </cell>
          <cell r="P21" t="str">
            <v>N/A</v>
          </cell>
        </row>
        <row r="22">
          <cell r="F22" t="str">
            <v>Customer unsatisfied w/ tensile of 7 5/8 47.1# Vam conn on btm of SDD &amp; top of XO back to liner; rest 55.3#</v>
          </cell>
        </row>
        <row r="23">
          <cell r="F23" t="str">
            <v>HMC hanger shipped form Houston with 7 pins instead of 6</v>
          </cell>
        </row>
        <row r="24">
          <cell r="F24" t="str">
            <v>Wrong receptacle in #2 LC</v>
          </cell>
          <cell r="P24">
            <v>25964</v>
          </cell>
        </row>
        <row r="25">
          <cell r="F25" t="str">
            <v>Tieback stem difd not drift as recd from Emmott</v>
          </cell>
          <cell r="P25" t="str">
            <v>order 111429</v>
          </cell>
        </row>
        <row r="26">
          <cell r="F26" t="str">
            <v>Could not regain circulation after ball landed on seat &amp; DS line mu</v>
          </cell>
        </row>
        <row r="27">
          <cell r="F27" t="str">
            <v>Slimhole Landing collar ball seat blew at 5200 psi when pinned for 3100 psi</v>
          </cell>
        </row>
        <row r="28">
          <cell r="F28" t="str">
            <v>Slimhole Landing collar ball seat blew at 5500 psi when pinned for ____ psi</v>
          </cell>
          <cell r="P28" t="str">
            <v>N/A</v>
          </cell>
        </row>
        <row r="29">
          <cell r="F29" t="str">
            <v>collapsed sleeve; wrong sleeve size ordered</v>
          </cell>
        </row>
        <row r="30">
          <cell r="F30" t="str">
            <v>pumped seals out of sleeve when blowing ball seat since released hgr before blowing ball seat; ball seat sheared high</v>
          </cell>
          <cell r="P30" t="str">
            <v>N/A</v>
          </cell>
        </row>
        <row r="31">
          <cell r="F31" t="str">
            <v>7 5/8 39# x 9 5/8 53.5# zxp w/ 10' type 3 ext leak at shop test</v>
          </cell>
          <cell r="P31" t="str">
            <v>order 122912</v>
          </cell>
        </row>
        <row r="32">
          <cell r="F32" t="str">
            <v>Mandrel for insert hydraulic setting tool sheared at threads during 7500 psi setting tool test at shop. ref BPR 0039 - repeat</v>
          </cell>
          <cell r="P32" t="str">
            <v>N/A</v>
          </cell>
        </row>
        <row r="33">
          <cell r="F33" t="str">
            <v>7 5/8 39# x 9 5/8 53.5# zxp w/ 10' type 3 ext leak at shop test</v>
          </cell>
          <cell r="P33" t="str">
            <v>order 120342</v>
          </cell>
        </row>
        <row r="34">
          <cell r="F34" t="str">
            <v>Ball seat sheared high; 1st plug indicator sheared high on 5" slimhole lc; 5th SLIMHOLE LC INCIDENT</v>
          </cell>
          <cell r="P34" t="str">
            <v>N/A</v>
          </cell>
        </row>
        <row r="35">
          <cell r="F35" t="str">
            <v>Issued TD head to be run by customer; plug dropped early per customer</v>
          </cell>
          <cell r="P35" t="str">
            <v>N/A</v>
          </cell>
        </row>
        <row r="36">
          <cell r="F36" t="str">
            <v>Had to emerg release HR / Chesapeake again (3rd time in last year)</v>
          </cell>
          <cell r="P36" t="str">
            <v>N/A</v>
          </cell>
        </row>
        <row r="37">
          <cell r="F37" t="str">
            <v>Took 6000 psi to shift sleeve of slimhole landing collar</v>
          </cell>
          <cell r="P37" t="str">
            <v>N/A</v>
          </cell>
        </row>
        <row r="38">
          <cell r="F38" t="str">
            <v>Got flow back upon complete cmt displacement</v>
          </cell>
          <cell r="P38" t="str">
            <v>N/A</v>
          </cell>
        </row>
        <row r="39">
          <cell r="F39" t="str">
            <v>SHC hgr shipped from Emmott w/ acme thd not cut deep enough</v>
          </cell>
          <cell r="P39" t="str">
            <v>w/o 112066</v>
          </cell>
        </row>
        <row r="40">
          <cell r="F40" t="str">
            <v>1) Setting sleeve packoff profile cut too close to RH profile and 2) Could not mu packoff to BLR in sleeve since no proper tools</v>
          </cell>
          <cell r="P40" t="str">
            <v>W/o 125590</v>
          </cell>
        </row>
        <row r="41">
          <cell r="F41" t="str">
            <v>1) mill backed off so fished 2) swage conn sheared from TD swivel assy 3) ran into wellhead as pooh so sheared blast jt out of packoff, fished</v>
          </cell>
          <cell r="P41" t="str">
            <v>N/A</v>
          </cell>
        </row>
        <row r="42">
          <cell r="F42" t="str">
            <v>Mandrel for insert hydraulic setting tool sheared at threads during 7500 psi setting tool test at shop. ref BPR 0039 &amp; 0120 - repeat</v>
          </cell>
          <cell r="P42" t="str">
            <v>N/A</v>
          </cell>
        </row>
        <row r="43">
          <cell r="F43" t="str">
            <v>Backed off xo during effort to emerg release HR; pooh w/ sleeve, nipple, &amp; xo</v>
          </cell>
        </row>
        <row r="44">
          <cell r="F44" t="str">
            <v>Had to emerg release HR / Chesapeake again</v>
          </cell>
          <cell r="P44" t="str">
            <v>N/A</v>
          </cell>
        </row>
        <row r="45">
          <cell r="F45" t="str">
            <v>Had to emerg release HR / Chesapeake again</v>
          </cell>
          <cell r="P45" t="str">
            <v>N/A</v>
          </cell>
        </row>
        <row r="46">
          <cell r="F46" t="str">
            <v>hydrotrip Sub appeared to shear on location but when disassy, no shear</v>
          </cell>
          <cell r="P46" t="str">
            <v>N/A</v>
          </cell>
        </row>
        <row r="47">
          <cell r="F47" t="str">
            <v>Had to emerg release HR after WOC since couldnt press release</v>
          </cell>
        </row>
        <row r="48">
          <cell r="F48" t="str">
            <v>Wrong size catcher shipped with Landing collar</v>
          </cell>
          <cell r="P48" t="str">
            <v>N/A</v>
          </cell>
        </row>
        <row r="49">
          <cell r="F49" t="str">
            <v>9 5/8 LFC LWP difficult to assy to adapter</v>
          </cell>
          <cell r="P49" t="str">
            <v>w/o 118066 on label</v>
          </cell>
        </row>
        <row r="50">
          <cell r="F50" t="str">
            <v>HR running tool over torqued as drilling down Chesapeake due to well conds; damaged tool &amp; prereleased from liner</v>
          </cell>
          <cell r="P50" t="str">
            <v>N/A</v>
          </cell>
        </row>
        <row r="51">
          <cell r="F51" t="str">
            <v>RH running tool assy pooh w/ dart still in end of running tool assy</v>
          </cell>
          <cell r="P51" t="str">
            <v>N/A</v>
          </cell>
        </row>
        <row r="52">
          <cell r="F52" t="str">
            <v>Hydrotrip sub pinned for 3 ksi, sheared at 1800 psi / Chesapeake</v>
          </cell>
          <cell r="P52" t="str">
            <v>N/A</v>
          </cell>
        </row>
        <row r="53">
          <cell r="F53" t="str">
            <v>Wet shoe due to PDP not latching into lwp into L.C.</v>
          </cell>
          <cell r="P53" t="str">
            <v>N/A</v>
          </cell>
        </row>
        <row r="54">
          <cell r="F54" t="str">
            <v>Lead pdp of 7" LFC appeared to shear lead lwp at 7500 psi, but pinned for 1500 psi; this appeared the case since happened within 5 bbl of shearing the plug (actual liner or backside plug)</v>
          </cell>
          <cell r="P54">
            <v>25421</v>
          </cell>
        </row>
        <row r="55">
          <cell r="F55" t="str">
            <v>When POOH, had pieces of lwp &amp; pdp</v>
          </cell>
        </row>
        <row r="56">
          <cell r="F56" t="str">
            <v>SHC hgr shipped from Emmott w/ acme thd would not mu to zxp sleeve</v>
          </cell>
          <cell r="P56" t="str">
            <v>zxp w/o 134069</v>
          </cell>
        </row>
        <row r="57">
          <cell r="F57" t="str">
            <v>Hydrotrip ball would not seat so had to emerg HR tool</v>
          </cell>
          <cell r="P57" t="str">
            <v>N/A</v>
          </cell>
        </row>
        <row r="58">
          <cell r="F58" t="str">
            <v>Mandrel for insert hydraulic setting tool sheared at threads at 7000 psi during setting tool test at shop. ref BPR 0039 &amp; 0120 &amp; 0139 - repeat</v>
          </cell>
          <cell r="P58" t="str">
            <v>see WO descriptions in S/N field</v>
          </cell>
        </row>
        <row r="59">
          <cell r="F59" t="str">
            <v>zxp appeared to not test for Total Minatone</v>
          </cell>
        </row>
        <row r="60">
          <cell r="F60" t="str">
            <v>1. SDD mechanically set, 2.  TD head malfunctioned, 3.  LFC lead lwp did not bump &amp; follow lwp bumped then p bled</v>
          </cell>
        </row>
        <row r="61">
          <cell r="F61" t="str">
            <v>Liner hanger never set due to sticky cond's; fell downhole to btm releasing packoff &amp; dog sub from liner prematurely</v>
          </cell>
        </row>
        <row r="62">
          <cell r="F62" t="str">
            <v>did nt see plugs land or bump</v>
          </cell>
        </row>
        <row r="63">
          <cell r="F63" t="str">
            <v>Stuck 9,5/8 CMC Hanger before reaching bottom</v>
          </cell>
        </row>
        <row r="64">
          <cell r="F64" t="str">
            <v>1st LFC wiper plug sheared high, 2nd plug did not shear.</v>
          </cell>
        </row>
        <row r="65">
          <cell r="F65" t="str">
            <v>Possible preset of ZXP hold downs after picking up drilling jars.</v>
          </cell>
        </row>
        <row r="66">
          <cell r="F66" t="str">
            <v xml:space="preserve">Liner assembly became stuck inside casing while GIH. </v>
          </cell>
        </row>
        <row r="67">
          <cell r="F67" t="str">
            <v>Setting ball did not seat in landing collar. Wiper plug did not bump. Dog sub failed to spring open. Liner top did not test.</v>
          </cell>
        </row>
        <row r="68">
          <cell r="F68" t="str">
            <v>2RH running tools being delivered with loose connections</v>
          </cell>
        </row>
        <row r="69">
          <cell r="F69" t="str">
            <v>HR running tool was assembled and stabbed with loose connections and screws.</v>
          </cell>
          <cell r="P69">
            <v>25387</v>
          </cell>
        </row>
        <row r="70">
          <cell r="F70" t="str">
            <v>Unable to release from liner with HR Running Tool. POOH with liner.</v>
          </cell>
        </row>
        <row r="71">
          <cell r="F71" t="str">
            <v>Setting ball did not seat inside Type 2 Landing Collar, LFC Plugs did not bump,11-3/4 x 9-5/8 53.5# ZXP did not test. Warehouse drawing showed tools in wrong order.</v>
          </cell>
        </row>
        <row r="72">
          <cell r="F72" t="str">
            <v>Wrong size pump down plug was sent out for landing collar.</v>
          </cell>
        </row>
        <row r="73">
          <cell r="F73" t="str">
            <v>Incompatability between pump-down plugs and workstring.</v>
          </cell>
        </row>
        <row r="74">
          <cell r="F74" t="str">
            <v>Setting Ball did not seat in LFC landing collar, Backed off hanger while attempting to screw into 2RH.</v>
          </cell>
        </row>
        <row r="75">
          <cell r="F75" t="str">
            <v xml:space="preserve">Liner Hanger assembly became stuck while GIH. </v>
          </cell>
          <cell r="BL75" t="str">
            <v>characteristics, thought to be from another source other than the hanger or ZXP equipment. Per D Wade, the hanger was reportedly left in the hole and the well was sidetracked. - Ron Westfahl, 3-18-98</v>
          </cell>
        </row>
        <row r="76">
          <cell r="F76" t="str">
            <v>Unable to release 2RH running tool.</v>
          </cell>
        </row>
        <row r="77">
          <cell r="F77" t="str">
            <v>crossover had discrepant thds &amp; BPR was not entered till now</v>
          </cell>
        </row>
        <row r="78">
          <cell r="F78" t="str">
            <v>Insufficient specs on PO of landing collar sent to third party.</v>
          </cell>
        </row>
        <row r="79">
          <cell r="F79" t="str">
            <v>Wrong shoe shipped</v>
          </cell>
        </row>
        <row r="80">
          <cell r="F80" t="str">
            <v>HR  tool slipped out of assy at floor</v>
          </cell>
        </row>
        <row r="81">
          <cell r="F81" t="str">
            <v>1) No dp rabbits were corodinated for this job; 2) Wrong float collar set up for job at coordinator's desk</v>
          </cell>
          <cell r="P81" t="str">
            <v>P.O. 60843 for Spirit Sweetlake Yount Lee #85 well</v>
          </cell>
        </row>
        <row r="82">
          <cell r="F82" t="str">
            <v>Flex-lock Hanger slid downhole while attempting to set.</v>
          </cell>
        </row>
        <row r="83">
          <cell r="F83" t="str">
            <v>Numerous errors were found by TST on prejob paperwork and tickets from district.</v>
          </cell>
        </row>
        <row r="84">
          <cell r="F84" t="str">
            <v>Liner became stuck before reaching TD so pooh. While laying down hanger, threads were galled and small cracks were noticed on ZXP element.</v>
          </cell>
        </row>
        <row r="85">
          <cell r="F85" t="str">
            <v>INSERT SEAL UNIT FOR FLOAT VAVLE DID NOT STROKE OUT PROPER LENGTH TO SET AND SEAL IN BOX END OF CSG JT</v>
          </cell>
        </row>
        <row r="86">
          <cell r="F86" t="str">
            <v>Liner fell downhole 2' after releasing from it.</v>
          </cell>
          <cell r="P86" t="str">
            <v>w/o 156132</v>
          </cell>
        </row>
        <row r="87">
          <cell r="F87" t="str">
            <v>1) 7 5/8 x 9 5/8 GC Std zxp for is not full ID for 7 5/8 29.7#, &amp; not caught at sales desk incompatibility with RS packoff. 2) Eqpt was ordered per quote reqts w/o checking incompatibility btw the GC Std pkr &amp; 6.875 OD RS packoff. 3) min. 15 hrs downtime.</v>
          </cell>
          <cell r="BS87" t="str">
            <v>necessary (welding keys back in, etc.)  5) Coordinators to take action (order eqpt or return quote to sales rep for revision where needed) within two days of receipt of quote from sales rep.</v>
          </cell>
        </row>
        <row r="88">
          <cell r="F88" t="str">
            <v>Sales Quote prices inconsistent with correct prices; co rep is questioning</v>
          </cell>
        </row>
        <row r="89">
          <cell r="F89" t="str">
            <v>1) flag sub stop broken &amp; shipped as-is, preventing plug pass during cmt job, 2) TD swivel 1502 union blew off during hanger setting &amp; s/o, 3) whse dwg wrong as generated by whse &amp; approved by coordinator</v>
          </cell>
          <cell r="AS89" t="str">
            <v>TD swivels were loaded out anyways.  (When asked why no packing was shipped here from Belle Chasse nor Emmott Rd to convert the swivels to get them here before the next one loads out, reply 'we did not check into that'.  Thus, another one is being shipped</v>
          </cell>
          <cell r="BL89" t="str">
            <v>Drawings will be conducted w/ care &amp; signed as properly reviewed versus human errors.  5) Packing for the 5 TD swivels + 2 extra sets being ordered this morning from Emmott; DR 970241-LA 4/13/98 RP.</v>
          </cell>
          <cell r="BS89" t="str">
            <v>off limits until fixed, we mean it.  They were not corrected yet &amp; two are out / being sent out. RP 4/13/98</v>
          </cell>
        </row>
        <row r="90">
          <cell r="F90" t="str">
            <v>Liner Wiper Plug did not shear or bump. Pump Down Plug was found lodged in the LC Head after reversing out.</v>
          </cell>
        </row>
        <row r="91">
          <cell r="F91" t="str">
            <v>Liner stuck after 636' in open hole. ZXP was damaged while pulling free.</v>
          </cell>
        </row>
        <row r="92">
          <cell r="F92" t="str">
            <v>Wrong bottom connector received assembled on HR running tool</v>
          </cell>
        </row>
        <row r="93">
          <cell r="F93" t="str">
            <v>Sales quote missing additional day prices for rental eqpt &amp; pup joint not quoted so sales requesting credit to customer</v>
          </cell>
        </row>
        <row r="94">
          <cell r="F94" t="str">
            <v>Backed off liner after blowing ball seat early &amp; during effort to emerg release HR tool</v>
          </cell>
        </row>
        <row r="95">
          <cell r="F95" t="str">
            <v>Sales quote shows regular style LC &amp; regular plugs, ops ran PT style LC &amp;dbl seal plugs agreed by sales due to availability &amp; stinger size constraints, but sales requesting credit to cust</v>
          </cell>
        </row>
        <row r="96">
          <cell r="F96" t="str">
            <v>1) "Wrong xo bushing shipped to location" in sept 1997 per co rep via BOT sales rep B Cook, 2) xo bushing &amp; trans charge was still charged for on SST, 3) BPR was not done at time of occurrence &amp;  (job folder lost) resolution still not met.</v>
          </cell>
        </row>
        <row r="97">
          <cell r="F97" t="str">
            <v>did not hang linercould not get rotation down to liner;while cementing dowellpressured to 5000osi lifting runningtool out blowingoff sealson packoff</v>
          </cell>
        </row>
        <row r="98">
          <cell r="F98" t="str">
            <v>2-7/8 llinerw/ 2-7/8 ph-6 7.9#,hyflo II3.5-5.0 20#</v>
          </cell>
        </row>
        <row r="99">
          <cell r="F99" t="str">
            <v>Rotating 2RH did not rotate &amp; dog sub did not set on extension to set zxp</v>
          </cell>
        </row>
        <row r="100">
          <cell r="F100" t="str">
            <v>During Cmt job lost pressure down dp @ 107 bbl displaced.</v>
          </cell>
        </row>
        <row r="101">
          <cell r="F101" t="str">
            <v>TD head prematurely dropped plug</v>
          </cell>
        </row>
        <row r="102">
          <cell r="F102" t="str">
            <v>quote received for this job was used for job setup, but sales rep now requesting credit for difference from earlier quote prices</v>
          </cell>
        </row>
        <row r="103">
          <cell r="F103" t="str">
            <v>backed off zxp instead of emerg releasing HR tool</v>
          </cell>
          <cell r="P103" t="str">
            <v>970084-L</v>
          </cell>
        </row>
        <row r="104">
          <cell r="F104" t="str">
            <v>HMC Hanger was pinned for 1130 - 1325 psi but took 2200 psi to shear</v>
          </cell>
        </row>
      </sheetData>
      <sheetData sheetId="15"/>
      <sheetData sheetId="16"/>
      <sheetData sheetId="1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ic Conversions"/>
      <sheetName val="Casing Info"/>
      <sheetName val="DATA"/>
      <sheetName val="Liner Job Info"/>
      <sheetName val="Weight Calculations"/>
      <sheetName val="Displacement Cal."/>
      <sheetName val="Tally"/>
      <sheetName val="Test"/>
      <sheetName val="Job Log"/>
      <sheetName val="Ball Seat Info"/>
      <sheetName val="Drawing"/>
    </sheetNames>
    <sheetDataSet>
      <sheetData sheetId="0" refreshError="1">
        <row r="15">
          <cell r="B15">
            <v>11115</v>
          </cell>
        </row>
        <row r="17">
          <cell r="B17">
            <v>1344.44</v>
          </cell>
        </row>
        <row r="18">
          <cell r="B18">
            <v>0</v>
          </cell>
        </row>
        <row r="20">
          <cell r="B20">
            <v>10367</v>
          </cell>
        </row>
        <row r="21">
          <cell r="B21">
            <v>441.71</v>
          </cell>
        </row>
        <row r="22">
          <cell r="B22">
            <v>0</v>
          </cell>
        </row>
        <row r="23">
          <cell r="B23">
            <v>0</v>
          </cell>
        </row>
        <row r="24">
          <cell r="B24">
            <v>0</v>
          </cell>
        </row>
        <row r="29">
          <cell r="B29">
            <v>12133</v>
          </cell>
        </row>
        <row r="66">
          <cell r="B66">
            <v>15.2</v>
          </cell>
        </row>
      </sheetData>
      <sheetData sheetId="1" refreshError="1"/>
      <sheetData sheetId="2" refreshError="1"/>
      <sheetData sheetId="3" refreshError="1">
        <row r="4">
          <cell r="E4" t="str">
            <v>UNIT PETROLEUM</v>
          </cell>
        </row>
        <row r="5">
          <cell r="E5" t="str">
            <v>WILDCAT</v>
          </cell>
        </row>
        <row r="7">
          <cell r="E7" t="str">
            <v>Curtis Sandidge / Bert Kinkle</v>
          </cell>
        </row>
        <row r="11">
          <cell r="O11">
            <v>41603</v>
          </cell>
        </row>
        <row r="14">
          <cell r="A14">
            <v>9.625</v>
          </cell>
          <cell r="C14">
            <v>47</v>
          </cell>
          <cell r="D14">
            <v>110000</v>
          </cell>
          <cell r="E14" t="str">
            <v>LT&amp;C</v>
          </cell>
        </row>
        <row r="17">
          <cell r="C17">
            <v>7</v>
          </cell>
          <cell r="E17">
            <v>29</v>
          </cell>
          <cell r="F17">
            <v>110000</v>
          </cell>
          <cell r="H17" t="str">
            <v>ST-L</v>
          </cell>
        </row>
        <row r="22">
          <cell r="C22">
            <v>4.5</v>
          </cell>
          <cell r="D22">
            <v>18.34</v>
          </cell>
          <cell r="F22" t="str">
            <v>G-105</v>
          </cell>
          <cell r="J22" t="str">
            <v>Extra Hole</v>
          </cell>
        </row>
        <row r="23">
          <cell r="C23">
            <v>4.5</v>
          </cell>
          <cell r="D23">
            <v>40</v>
          </cell>
          <cell r="F23" t="str">
            <v>G-105</v>
          </cell>
          <cell r="J23" t="str">
            <v>Extra Hole</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otes"/>
      <sheetName val="Ext. B&amp;C"/>
      <sheetName val="Cyl. B&amp;C"/>
      <sheetName val="Test"/>
      <sheetName val="Turns-Torque calcs"/>
      <sheetName val="Calculations"/>
      <sheetName val="1"/>
      <sheetName val="2"/>
      <sheetName val="3"/>
      <sheetName val="Tool Report"/>
      <sheetName val="TST Calcs &amp; checklist"/>
      <sheetName val="Run Repo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page"/>
      <sheetName val="Completion Report"/>
      <sheetName val="Job Log pg 1"/>
      <sheetName val="Job Log pg 2"/>
      <sheetName val="Drawing 8x11 "/>
      <sheetName val="Drawing 8x14"/>
      <sheetName val="Squeeze Calc."/>
      <sheetName val="Damaged Tool Report"/>
      <sheetName val="Terms and Conditions"/>
      <sheetName val="Composite Plug Data Sheet"/>
      <sheetName val="Customer Satisfaction"/>
      <sheetName val="Field Accident Rep"/>
      <sheetName val="CUSTOMERS"/>
      <sheetName val="Module 8x14"/>
      <sheetName val="Import"/>
      <sheetName val="Inse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ables"/>
      <sheetName val="Instructions"/>
      <sheetName val="WF Checklist"/>
      <sheetName val="LoadOut"/>
      <sheetName val="Job Masters"/>
      <sheetName val="Data"/>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
      <sheetName val="Formation"/>
      <sheetName val="Buckle_Module"/>
      <sheetName val="Completions"/>
      <sheetName val="Gem_Module"/>
      <sheetName val="Stim_Module"/>
      <sheetName val="Drawing 8.5x14"/>
      <sheetName val="Export"/>
      <sheetName val="Import_11"/>
      <sheetName val="Import_14"/>
      <sheetName val="TubeMove"/>
      <sheetName val="Cover Page"/>
      <sheetName val="Itemized Quote"/>
      <sheetName val="Summary Page"/>
      <sheetName val="Cover-No MSA "/>
      <sheetName val="Terms and Conditions"/>
      <sheetName val="Billing_Module"/>
      <sheetName val="Data"/>
    </sheetNames>
    <sheetDataSet>
      <sheetData sheetId="0"/>
      <sheetData sheetId="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ow r="65">
          <cell r="H65">
            <v>1.1399999999999999</v>
          </cell>
        </row>
        <row r="66">
          <cell r="H66">
            <v>1.2</v>
          </cell>
        </row>
        <row r="67">
          <cell r="H67">
            <v>1.5</v>
          </cell>
        </row>
        <row r="68">
          <cell r="H68">
            <v>1.7</v>
          </cell>
        </row>
        <row r="69">
          <cell r="H69">
            <v>1.72</v>
          </cell>
        </row>
        <row r="70">
          <cell r="B70">
            <v>2.2589999999999999</v>
          </cell>
          <cell r="H70">
            <v>1.8</v>
          </cell>
        </row>
        <row r="71">
          <cell r="B71">
            <v>2.323</v>
          </cell>
          <cell r="H71">
            <v>2.1</v>
          </cell>
        </row>
        <row r="72">
          <cell r="B72">
            <v>2.4409999999999998</v>
          </cell>
          <cell r="H72">
            <v>2.25</v>
          </cell>
        </row>
        <row r="73">
          <cell r="B73">
            <v>2.75</v>
          </cell>
          <cell r="H73">
            <v>2.2999999999999998</v>
          </cell>
        </row>
        <row r="74">
          <cell r="B74">
            <v>2.9220000000000002</v>
          </cell>
          <cell r="H74">
            <v>2.33</v>
          </cell>
        </row>
        <row r="75">
          <cell r="B75">
            <v>2.992</v>
          </cell>
          <cell r="H75">
            <v>2.4</v>
          </cell>
        </row>
        <row r="76">
          <cell r="B76">
            <v>3.0680000000000001</v>
          </cell>
          <cell r="H76">
            <v>2.75</v>
          </cell>
        </row>
        <row r="77">
          <cell r="B77">
            <v>3.24</v>
          </cell>
          <cell r="H77">
            <v>2.76</v>
          </cell>
        </row>
        <row r="78">
          <cell r="B78">
            <v>3.38</v>
          </cell>
          <cell r="H78">
            <v>2.9</v>
          </cell>
        </row>
        <row r="79">
          <cell r="B79">
            <v>3.4279999999999999</v>
          </cell>
          <cell r="H79">
            <v>3.02</v>
          </cell>
        </row>
        <row r="80">
          <cell r="B80">
            <v>3.476</v>
          </cell>
          <cell r="H80">
            <v>3.24</v>
          </cell>
        </row>
        <row r="81">
          <cell r="B81">
            <v>3.5</v>
          </cell>
          <cell r="H81">
            <v>3.25</v>
          </cell>
        </row>
        <row r="82">
          <cell r="B82">
            <v>3.548</v>
          </cell>
          <cell r="H82">
            <v>3.4</v>
          </cell>
        </row>
        <row r="83">
          <cell r="B83">
            <v>3.6259999999999999</v>
          </cell>
          <cell r="H83">
            <v>3.64</v>
          </cell>
        </row>
        <row r="84">
          <cell r="B84">
            <v>3.64</v>
          </cell>
          <cell r="H84">
            <v>4</v>
          </cell>
        </row>
        <row r="85">
          <cell r="B85">
            <v>3.6960000000000002</v>
          </cell>
          <cell r="H85">
            <v>4.1900000000000004</v>
          </cell>
        </row>
        <row r="86">
          <cell r="B86">
            <v>3.74</v>
          </cell>
          <cell r="H86">
            <v>4.5</v>
          </cell>
        </row>
        <row r="87">
          <cell r="B87">
            <v>3.75</v>
          </cell>
          <cell r="H87">
            <v>4.5999999999999996</v>
          </cell>
        </row>
        <row r="88">
          <cell r="B88">
            <v>3.754</v>
          </cell>
          <cell r="H88">
            <v>4.7</v>
          </cell>
        </row>
        <row r="89">
          <cell r="B89">
            <v>3.8260000000000001</v>
          </cell>
          <cell r="H89">
            <v>4.8499999999999996</v>
          </cell>
        </row>
        <row r="90">
          <cell r="B90">
            <v>3.85</v>
          </cell>
          <cell r="H90">
            <v>5.0999999999999996</v>
          </cell>
        </row>
        <row r="91">
          <cell r="B91">
            <v>3.8759999999999999</v>
          </cell>
          <cell r="H91">
            <v>5.2</v>
          </cell>
        </row>
        <row r="92">
          <cell r="B92">
            <v>3.91</v>
          </cell>
          <cell r="H92">
            <v>5.3</v>
          </cell>
        </row>
        <row r="93">
          <cell r="B93">
            <v>3.92</v>
          </cell>
          <cell r="C93">
            <v>6.5</v>
          </cell>
          <cell r="H93">
            <v>5.8</v>
          </cell>
        </row>
        <row r="94">
          <cell r="B94">
            <v>3.9380000000000002</v>
          </cell>
          <cell r="C94">
            <v>6.75</v>
          </cell>
          <cell r="H94">
            <v>5.95</v>
          </cell>
        </row>
        <row r="95">
          <cell r="B95">
            <v>3.9580000000000002</v>
          </cell>
          <cell r="C95">
            <v>7.25</v>
          </cell>
          <cell r="H95">
            <v>6.2</v>
          </cell>
        </row>
        <row r="96">
          <cell r="B96">
            <v>3.98</v>
          </cell>
          <cell r="C96">
            <v>7.7</v>
          </cell>
          <cell r="H96">
            <v>6.3</v>
          </cell>
        </row>
        <row r="97">
          <cell r="B97">
            <v>4</v>
          </cell>
          <cell r="C97">
            <v>7.9</v>
          </cell>
          <cell r="H97">
            <v>6.4</v>
          </cell>
        </row>
        <row r="98">
          <cell r="B98">
            <v>4.0439999999999996</v>
          </cell>
          <cell r="C98">
            <v>8</v>
          </cell>
          <cell r="H98">
            <v>6.45</v>
          </cell>
        </row>
        <row r="99">
          <cell r="B99">
            <v>4.0519999999999996</v>
          </cell>
          <cell r="C99">
            <v>8.5</v>
          </cell>
          <cell r="H99">
            <v>6.5</v>
          </cell>
        </row>
        <row r="100">
          <cell r="B100">
            <v>4.0620000000000003</v>
          </cell>
          <cell r="C100">
            <v>8.6999999999999993</v>
          </cell>
          <cell r="H100">
            <v>6.65</v>
          </cell>
        </row>
        <row r="101">
          <cell r="B101">
            <v>4.0819999999999999</v>
          </cell>
          <cell r="C101">
            <v>9</v>
          </cell>
          <cell r="H101">
            <v>6.85</v>
          </cell>
        </row>
        <row r="102">
          <cell r="B102">
            <v>4.09</v>
          </cell>
          <cell r="C102">
            <v>9.3000000000000007</v>
          </cell>
          <cell r="H102">
            <v>7.3</v>
          </cell>
        </row>
        <row r="103">
          <cell r="B103">
            <v>4.0919999999999996</v>
          </cell>
          <cell r="C103">
            <v>9.5</v>
          </cell>
          <cell r="H103">
            <v>7.7</v>
          </cell>
        </row>
        <row r="104">
          <cell r="B104">
            <v>4.1239999999999997</v>
          </cell>
          <cell r="C104">
            <v>10</v>
          </cell>
          <cell r="H104">
            <v>7.8</v>
          </cell>
        </row>
        <row r="105">
          <cell r="B105">
            <v>4.125</v>
          </cell>
          <cell r="C105">
            <v>10.199999999999999</v>
          </cell>
          <cell r="H105">
            <v>7.9</v>
          </cell>
        </row>
        <row r="106">
          <cell r="B106">
            <v>4.1260000000000003</v>
          </cell>
          <cell r="C106">
            <v>10.5</v>
          </cell>
          <cell r="H106">
            <v>8.35</v>
          </cell>
        </row>
        <row r="107">
          <cell r="B107">
            <v>4.1539999999999999</v>
          </cell>
          <cell r="C107">
            <v>11</v>
          </cell>
          <cell r="H107">
            <v>8.5</v>
          </cell>
        </row>
        <row r="108">
          <cell r="B108">
            <v>4.1559999999999997</v>
          </cell>
          <cell r="C108">
            <v>11.5</v>
          </cell>
          <cell r="H108">
            <v>8.6</v>
          </cell>
        </row>
        <row r="109">
          <cell r="B109">
            <v>4.1840000000000002</v>
          </cell>
          <cell r="C109">
            <v>11.6</v>
          </cell>
          <cell r="H109">
            <v>8.6999999999999993</v>
          </cell>
        </row>
        <row r="110">
          <cell r="B110">
            <v>4.2160000000000002</v>
          </cell>
          <cell r="C110">
            <v>12</v>
          </cell>
          <cell r="H110">
            <v>9.1999999999999993</v>
          </cell>
        </row>
        <row r="111">
          <cell r="B111">
            <v>4.2300000000000004</v>
          </cell>
          <cell r="C111">
            <v>12.6</v>
          </cell>
          <cell r="H111">
            <v>9.3000000000000007</v>
          </cell>
        </row>
        <row r="112">
          <cell r="B112">
            <v>4.25</v>
          </cell>
          <cell r="C112">
            <v>12.75</v>
          </cell>
          <cell r="H112">
            <v>9.5</v>
          </cell>
        </row>
        <row r="113">
          <cell r="B113">
            <v>4.2759999999999998</v>
          </cell>
          <cell r="C113">
            <v>12.8</v>
          </cell>
          <cell r="H113">
            <v>9.8000000000000007</v>
          </cell>
        </row>
        <row r="114">
          <cell r="B114">
            <v>4.3639999999999999</v>
          </cell>
          <cell r="C114">
            <v>12.95</v>
          </cell>
          <cell r="H114">
            <v>10.199999999999999</v>
          </cell>
        </row>
        <row r="115">
          <cell r="B115">
            <v>4.375</v>
          </cell>
          <cell r="C115">
            <v>13</v>
          </cell>
          <cell r="H115">
            <v>10.3</v>
          </cell>
        </row>
        <row r="116">
          <cell r="B116">
            <v>4.3760000000000003</v>
          </cell>
          <cell r="C116">
            <v>13.5</v>
          </cell>
          <cell r="H116">
            <v>10.4</v>
          </cell>
        </row>
        <row r="117">
          <cell r="B117">
            <v>4.4080000000000004</v>
          </cell>
          <cell r="C117">
            <v>14</v>
          </cell>
          <cell r="H117">
            <v>10.5</v>
          </cell>
        </row>
        <row r="118">
          <cell r="B118">
            <v>4.4379999999999997</v>
          </cell>
          <cell r="C118">
            <v>14.75</v>
          </cell>
          <cell r="H118">
            <v>10.7</v>
          </cell>
        </row>
        <row r="119">
          <cell r="B119">
            <v>4.4400000000000004</v>
          </cell>
          <cell r="C119">
            <v>15</v>
          </cell>
          <cell r="H119">
            <v>10.9</v>
          </cell>
        </row>
        <row r="120">
          <cell r="B120">
            <v>4.46</v>
          </cell>
          <cell r="C120">
            <v>15.1</v>
          </cell>
          <cell r="H120">
            <v>11</v>
          </cell>
        </row>
        <row r="121">
          <cell r="B121">
            <v>4.4939999999999998</v>
          </cell>
          <cell r="C121">
            <v>15.5</v>
          </cell>
          <cell r="H121">
            <v>11.2</v>
          </cell>
        </row>
        <row r="122">
          <cell r="B122">
            <v>4.5</v>
          </cell>
          <cell r="C122">
            <v>16</v>
          </cell>
          <cell r="H122">
            <v>11.6</v>
          </cell>
        </row>
        <row r="123">
          <cell r="B123">
            <v>4.5010000000000003</v>
          </cell>
          <cell r="C123">
            <v>16.600000000000001</v>
          </cell>
          <cell r="H123">
            <v>11.65</v>
          </cell>
        </row>
        <row r="124">
          <cell r="B124">
            <v>4.5060000000000002</v>
          </cell>
          <cell r="C124">
            <v>16.8</v>
          </cell>
          <cell r="H124">
            <v>11.85</v>
          </cell>
        </row>
        <row r="125">
          <cell r="B125">
            <v>4.548</v>
          </cell>
          <cell r="C125">
            <v>16.899999999999999</v>
          </cell>
          <cell r="H125">
            <v>12.6</v>
          </cell>
        </row>
        <row r="126">
          <cell r="B126">
            <v>4.5599999999999996</v>
          </cell>
          <cell r="C126">
            <v>17</v>
          </cell>
          <cell r="H126">
            <v>12.7</v>
          </cell>
        </row>
        <row r="127">
          <cell r="B127">
            <v>4.58</v>
          </cell>
          <cell r="C127">
            <v>17.100000000000001</v>
          </cell>
          <cell r="H127">
            <v>12.75</v>
          </cell>
        </row>
        <row r="128">
          <cell r="B128">
            <v>4.625</v>
          </cell>
          <cell r="C128">
            <v>17.5</v>
          </cell>
          <cell r="H128">
            <v>12.8</v>
          </cell>
        </row>
        <row r="129">
          <cell r="B129">
            <v>4.6260000000000003</v>
          </cell>
          <cell r="C129">
            <v>17.7</v>
          </cell>
          <cell r="H129">
            <v>12.95</v>
          </cell>
        </row>
        <row r="130">
          <cell r="B130">
            <v>4.6479999999999997</v>
          </cell>
          <cell r="C130">
            <v>18</v>
          </cell>
          <cell r="H130">
            <v>13</v>
          </cell>
        </row>
        <row r="131">
          <cell r="B131">
            <v>4.67</v>
          </cell>
          <cell r="C131">
            <v>18.8</v>
          </cell>
          <cell r="H131">
            <v>13.3</v>
          </cell>
        </row>
        <row r="132">
          <cell r="B132">
            <v>4.6959999999999997</v>
          </cell>
          <cell r="C132">
            <v>19</v>
          </cell>
          <cell r="H132">
            <v>13.4</v>
          </cell>
        </row>
        <row r="133">
          <cell r="B133">
            <v>4.7300000000000004</v>
          </cell>
          <cell r="C133">
            <v>19.100000000000001</v>
          </cell>
          <cell r="H133">
            <v>13.5</v>
          </cell>
        </row>
        <row r="134">
          <cell r="B134">
            <v>4.75</v>
          </cell>
          <cell r="C134">
            <v>19.45</v>
          </cell>
          <cell r="H134">
            <v>13.7</v>
          </cell>
        </row>
        <row r="135">
          <cell r="B135">
            <v>4.7510000000000003</v>
          </cell>
          <cell r="C135">
            <v>19.5</v>
          </cell>
          <cell r="H135">
            <v>13.75</v>
          </cell>
        </row>
        <row r="136">
          <cell r="B136">
            <v>4.7679999999999998</v>
          </cell>
          <cell r="C136">
            <v>20</v>
          </cell>
          <cell r="G136">
            <v>0.82399999999999995</v>
          </cell>
          <cell r="H136">
            <v>14</v>
          </cell>
        </row>
        <row r="137">
          <cell r="B137">
            <v>4.7779999999999996</v>
          </cell>
          <cell r="C137">
            <v>20.3</v>
          </cell>
          <cell r="G137">
            <v>0.74199999999999999</v>
          </cell>
          <cell r="H137">
            <v>14.8</v>
          </cell>
        </row>
        <row r="138">
          <cell r="B138">
            <v>4.8129999999999997</v>
          </cell>
          <cell r="C138">
            <v>20.8</v>
          </cell>
          <cell r="G138">
            <v>0.95699999999999996</v>
          </cell>
          <cell r="H138">
            <v>15</v>
          </cell>
        </row>
        <row r="139">
          <cell r="B139">
            <v>4.8659999999999997</v>
          </cell>
          <cell r="C139">
            <v>21</v>
          </cell>
          <cell r="G139">
            <v>1.0489999999999999</v>
          </cell>
          <cell r="H139">
            <v>15.1</v>
          </cell>
        </row>
        <row r="140">
          <cell r="B140">
            <v>4.875</v>
          </cell>
          <cell r="C140">
            <v>21.4</v>
          </cell>
          <cell r="G140">
            <v>1.264</v>
          </cell>
          <cell r="H140">
            <v>15.5</v>
          </cell>
        </row>
        <row r="141">
          <cell r="B141">
            <v>4.8760000000000003</v>
          </cell>
          <cell r="C141">
            <v>21.6</v>
          </cell>
          <cell r="G141">
            <v>1.278</v>
          </cell>
          <cell r="H141">
            <v>15.7</v>
          </cell>
        </row>
        <row r="142">
          <cell r="B142">
            <v>4.8899999999999997</v>
          </cell>
          <cell r="C142">
            <v>22</v>
          </cell>
          <cell r="G142">
            <v>1.38</v>
          </cell>
          <cell r="H142">
            <v>15.8</v>
          </cell>
        </row>
        <row r="143">
          <cell r="B143">
            <v>4.8920000000000003</v>
          </cell>
          <cell r="C143">
            <v>22.5</v>
          </cell>
          <cell r="G143">
            <v>1.41</v>
          </cell>
          <cell r="H143">
            <v>16.25</v>
          </cell>
        </row>
        <row r="144">
          <cell r="B144">
            <v>4.944</v>
          </cell>
          <cell r="C144">
            <v>22.75</v>
          </cell>
          <cell r="G144">
            <v>1.462</v>
          </cell>
          <cell r="H144">
            <v>16.5</v>
          </cell>
        </row>
        <row r="145">
          <cell r="B145">
            <v>4.95</v>
          </cell>
          <cell r="C145">
            <v>23</v>
          </cell>
          <cell r="G145">
            <v>1.5</v>
          </cell>
          <cell r="H145">
            <v>16.600000000000001</v>
          </cell>
        </row>
        <row r="146">
          <cell r="B146">
            <v>4.96</v>
          </cell>
          <cell r="C146">
            <v>23.2</v>
          </cell>
          <cell r="G146">
            <v>1.61</v>
          </cell>
          <cell r="H146">
            <v>16.7</v>
          </cell>
        </row>
        <row r="147">
          <cell r="B147">
            <v>4.9740000000000002</v>
          </cell>
          <cell r="C147">
            <v>23.8</v>
          </cell>
          <cell r="G147">
            <v>1.613</v>
          </cell>
          <cell r="H147">
            <v>16.899999999999999</v>
          </cell>
        </row>
        <row r="148">
          <cell r="B148">
            <v>4.99</v>
          </cell>
          <cell r="C148">
            <v>24</v>
          </cell>
          <cell r="G148">
            <v>1.65</v>
          </cell>
          <cell r="H148">
            <v>17</v>
          </cell>
        </row>
        <row r="149">
          <cell r="B149">
            <v>5</v>
          </cell>
          <cell r="C149">
            <v>24.1</v>
          </cell>
          <cell r="G149">
            <v>1.67</v>
          </cell>
          <cell r="H149">
            <v>17.05</v>
          </cell>
        </row>
        <row r="150">
          <cell r="B150">
            <v>5.0010000000000003</v>
          </cell>
          <cell r="C150">
            <v>24.2</v>
          </cell>
          <cell r="G150">
            <v>1.7030000000000001</v>
          </cell>
          <cell r="H150">
            <v>18</v>
          </cell>
        </row>
        <row r="151">
          <cell r="B151">
            <v>5.0119999999999996</v>
          </cell>
          <cell r="C151">
            <v>24.6</v>
          </cell>
          <cell r="G151">
            <v>1.75</v>
          </cell>
          <cell r="H151">
            <v>18.149999999999999</v>
          </cell>
        </row>
        <row r="152">
          <cell r="B152">
            <v>5.0439999999999996</v>
          </cell>
          <cell r="C152">
            <v>25</v>
          </cell>
          <cell r="G152">
            <v>1.7509999999999999</v>
          </cell>
          <cell r="H152">
            <v>18.8</v>
          </cell>
        </row>
        <row r="153">
          <cell r="B153">
            <v>5.0469999999999997</v>
          </cell>
          <cell r="C153">
            <v>25.2</v>
          </cell>
          <cell r="G153">
            <v>1.8149999999999999</v>
          </cell>
          <cell r="H153">
            <v>19</v>
          </cell>
        </row>
        <row r="154">
          <cell r="B154">
            <v>5.09</v>
          </cell>
          <cell r="C154">
            <v>25.5</v>
          </cell>
          <cell r="G154">
            <v>1.853</v>
          </cell>
          <cell r="H154">
            <v>19.2</v>
          </cell>
        </row>
        <row r="155">
          <cell r="B155">
            <v>5.125</v>
          </cell>
          <cell r="C155">
            <v>26</v>
          </cell>
          <cell r="G155">
            <v>1.867</v>
          </cell>
          <cell r="H155">
            <v>19.5</v>
          </cell>
        </row>
        <row r="156">
          <cell r="B156">
            <v>5.1260000000000003</v>
          </cell>
          <cell r="C156">
            <v>26.4</v>
          </cell>
          <cell r="G156">
            <v>1.9390000000000001</v>
          </cell>
          <cell r="H156">
            <v>20</v>
          </cell>
        </row>
        <row r="157">
          <cell r="B157">
            <v>5.1319999999999997</v>
          </cell>
          <cell r="C157">
            <v>26.5</v>
          </cell>
          <cell r="G157">
            <v>1.9950000000000001</v>
          </cell>
          <cell r="H157">
            <v>20.3</v>
          </cell>
        </row>
        <row r="158">
          <cell r="B158">
            <v>5.14</v>
          </cell>
          <cell r="C158">
            <v>26.7</v>
          </cell>
          <cell r="G158">
            <v>2.0409999999999999</v>
          </cell>
          <cell r="H158">
            <v>20.5</v>
          </cell>
        </row>
        <row r="159">
          <cell r="B159">
            <v>5.19</v>
          </cell>
          <cell r="C159">
            <v>26.75</v>
          </cell>
          <cell r="G159">
            <v>2.0649999999999999</v>
          </cell>
          <cell r="H159">
            <v>21.6</v>
          </cell>
        </row>
        <row r="160">
          <cell r="B160">
            <v>5.1920000000000002</v>
          </cell>
          <cell r="C160">
            <v>26.8</v>
          </cell>
          <cell r="G160">
            <v>2.0910000000000002</v>
          </cell>
          <cell r="H160">
            <v>21.9</v>
          </cell>
        </row>
        <row r="161">
          <cell r="B161">
            <v>5.2249999999999996</v>
          </cell>
          <cell r="C161">
            <v>28</v>
          </cell>
          <cell r="G161">
            <v>2.1509999999999998</v>
          </cell>
          <cell r="H161">
            <v>22.2</v>
          </cell>
        </row>
        <row r="162">
          <cell r="B162">
            <v>5.24</v>
          </cell>
          <cell r="C162">
            <v>28.4</v>
          </cell>
          <cell r="G162">
            <v>2.1949999999999998</v>
          </cell>
          <cell r="H162">
            <v>22.5</v>
          </cell>
        </row>
        <row r="163">
          <cell r="B163">
            <v>5.25</v>
          </cell>
          <cell r="C163">
            <v>29</v>
          </cell>
          <cell r="G163">
            <v>2.2589999999999999</v>
          </cell>
          <cell r="H163">
            <v>22.8</v>
          </cell>
        </row>
        <row r="164">
          <cell r="B164">
            <v>5.2510000000000003</v>
          </cell>
          <cell r="C164">
            <v>29.2</v>
          </cell>
          <cell r="G164">
            <v>2.323</v>
          </cell>
          <cell r="H164">
            <v>23</v>
          </cell>
        </row>
        <row r="165">
          <cell r="B165">
            <v>5.29</v>
          </cell>
          <cell r="C165">
            <v>29.3</v>
          </cell>
          <cell r="G165">
            <v>2.44</v>
          </cell>
          <cell r="H165">
            <v>23.2</v>
          </cell>
        </row>
        <row r="166">
          <cell r="B166">
            <v>5.3120000000000003</v>
          </cell>
          <cell r="C166">
            <v>29.35</v>
          </cell>
          <cell r="G166">
            <v>2.4409999999999998</v>
          </cell>
          <cell r="H166">
            <v>24</v>
          </cell>
        </row>
        <row r="167">
          <cell r="B167">
            <v>5.3520000000000003</v>
          </cell>
          <cell r="C167">
            <v>29.5</v>
          </cell>
          <cell r="G167">
            <v>2.4689999999999999</v>
          </cell>
          <cell r="H167">
            <v>24.6</v>
          </cell>
        </row>
        <row r="168">
          <cell r="B168">
            <v>5.3739999999999997</v>
          </cell>
          <cell r="C168">
            <v>29.7</v>
          </cell>
          <cell r="G168">
            <v>2.48</v>
          </cell>
          <cell r="H168">
            <v>24.7</v>
          </cell>
        </row>
        <row r="169">
          <cell r="B169">
            <v>5.375</v>
          </cell>
          <cell r="C169">
            <v>30</v>
          </cell>
          <cell r="G169">
            <v>2.524</v>
          </cell>
          <cell r="H169">
            <v>25.2</v>
          </cell>
        </row>
        <row r="170">
          <cell r="B170">
            <v>5.3760000000000003</v>
          </cell>
          <cell r="C170">
            <v>30.25</v>
          </cell>
          <cell r="G170">
            <v>2.548</v>
          </cell>
          <cell r="H170">
            <v>25.25</v>
          </cell>
        </row>
        <row r="171">
          <cell r="B171">
            <v>5.4</v>
          </cell>
          <cell r="C171">
            <v>31.5</v>
          </cell>
          <cell r="G171">
            <v>2.6019999999999999</v>
          </cell>
          <cell r="H171">
            <v>26</v>
          </cell>
        </row>
        <row r="172">
          <cell r="B172">
            <v>5.4240000000000004</v>
          </cell>
          <cell r="C172">
            <v>31.6</v>
          </cell>
          <cell r="G172">
            <v>2.673</v>
          </cell>
          <cell r="H172">
            <v>26.5</v>
          </cell>
        </row>
        <row r="173">
          <cell r="B173">
            <v>5.45</v>
          </cell>
          <cell r="C173">
            <v>32</v>
          </cell>
          <cell r="G173">
            <v>2.75</v>
          </cell>
          <cell r="H173">
            <v>27</v>
          </cell>
        </row>
        <row r="174">
          <cell r="B174">
            <v>5.46</v>
          </cell>
          <cell r="C174">
            <v>32.299999999999997</v>
          </cell>
          <cell r="G174">
            <v>2.7639999999999998</v>
          </cell>
          <cell r="H174">
            <v>28</v>
          </cell>
        </row>
        <row r="175">
          <cell r="B175">
            <v>5.5</v>
          </cell>
          <cell r="C175">
            <v>32.4</v>
          </cell>
          <cell r="G175">
            <v>2.78</v>
          </cell>
          <cell r="H175">
            <v>28.4</v>
          </cell>
        </row>
        <row r="176">
          <cell r="B176">
            <v>5.5010000000000003</v>
          </cell>
          <cell r="C176">
            <v>32.6</v>
          </cell>
          <cell r="G176">
            <v>2.9</v>
          </cell>
          <cell r="H176">
            <v>29</v>
          </cell>
        </row>
        <row r="177">
          <cell r="B177">
            <v>5.54</v>
          </cell>
          <cell r="C177">
            <v>32.75</v>
          </cell>
          <cell r="G177">
            <v>2.9220000000000002</v>
          </cell>
          <cell r="H177">
            <v>29.25</v>
          </cell>
        </row>
        <row r="178">
          <cell r="B178">
            <v>5.5419999999999998</v>
          </cell>
          <cell r="C178">
            <v>33</v>
          </cell>
          <cell r="G178">
            <v>2.992</v>
          </cell>
          <cell r="H178">
            <v>31.9</v>
          </cell>
        </row>
        <row r="179">
          <cell r="B179">
            <v>5.5519999999999996</v>
          </cell>
          <cell r="C179">
            <v>33.700000000000003</v>
          </cell>
          <cell r="G179">
            <v>3</v>
          </cell>
          <cell r="H179">
            <v>32</v>
          </cell>
        </row>
        <row r="180">
          <cell r="B180">
            <v>5.5620000000000003</v>
          </cell>
          <cell r="C180">
            <v>34</v>
          </cell>
          <cell r="G180">
            <v>3.0630000000000002</v>
          </cell>
          <cell r="H180">
            <v>35</v>
          </cell>
        </row>
        <row r="181">
          <cell r="B181">
            <v>5.5750000000000002</v>
          </cell>
          <cell r="C181">
            <v>34.5</v>
          </cell>
          <cell r="G181">
            <v>3.0680000000000001</v>
          </cell>
          <cell r="H181">
            <v>38</v>
          </cell>
        </row>
        <row r="182">
          <cell r="B182">
            <v>5.5949999999999998</v>
          </cell>
          <cell r="C182">
            <v>35</v>
          </cell>
          <cell r="G182">
            <v>3.14</v>
          </cell>
          <cell r="H182">
            <v>40</v>
          </cell>
        </row>
        <row r="183">
          <cell r="B183">
            <v>5.62</v>
          </cell>
          <cell r="C183">
            <v>35.299999999999997</v>
          </cell>
          <cell r="G183">
            <v>3.24</v>
          </cell>
          <cell r="H183">
            <v>41</v>
          </cell>
        </row>
        <row r="184">
          <cell r="B184">
            <v>5.625</v>
          </cell>
          <cell r="C184">
            <v>35.5</v>
          </cell>
          <cell r="G184">
            <v>3.34</v>
          </cell>
        </row>
        <row r="185">
          <cell r="B185">
            <v>5.6260000000000003</v>
          </cell>
          <cell r="C185">
            <v>35.75</v>
          </cell>
          <cell r="G185">
            <v>3.38</v>
          </cell>
        </row>
        <row r="186">
          <cell r="B186">
            <v>5.66</v>
          </cell>
          <cell r="C186">
            <v>36</v>
          </cell>
          <cell r="G186">
            <v>3.4279999999999999</v>
          </cell>
        </row>
        <row r="187">
          <cell r="B187">
            <v>5.6719999999999997</v>
          </cell>
          <cell r="C187">
            <v>36.4</v>
          </cell>
          <cell r="G187">
            <v>3.476</v>
          </cell>
        </row>
        <row r="188">
          <cell r="B188">
            <v>5.6749999999999998</v>
          </cell>
          <cell r="C188">
            <v>36.5</v>
          </cell>
          <cell r="G188">
            <v>3.5</v>
          </cell>
        </row>
        <row r="189">
          <cell r="B189">
            <v>5.72</v>
          </cell>
          <cell r="C189">
            <v>36.700000000000003</v>
          </cell>
          <cell r="G189">
            <v>3.548</v>
          </cell>
        </row>
        <row r="190">
          <cell r="B190">
            <v>5.75</v>
          </cell>
          <cell r="C190">
            <v>38</v>
          </cell>
          <cell r="G190">
            <v>3.6139999999999999</v>
          </cell>
        </row>
        <row r="191">
          <cell r="B191">
            <v>5.7510000000000003</v>
          </cell>
          <cell r="C191">
            <v>39</v>
          </cell>
          <cell r="G191">
            <v>3.64</v>
          </cell>
        </row>
        <row r="192">
          <cell r="B192">
            <v>5.7610000000000001</v>
          </cell>
          <cell r="C192">
            <v>39.5</v>
          </cell>
          <cell r="G192">
            <v>3.74</v>
          </cell>
        </row>
        <row r="193">
          <cell r="B193">
            <v>5.7910000000000004</v>
          </cell>
          <cell r="C193">
            <v>40</v>
          </cell>
          <cell r="G193">
            <v>3.754</v>
          </cell>
        </row>
        <row r="194">
          <cell r="B194">
            <v>5.82</v>
          </cell>
          <cell r="C194">
            <v>40.200000000000003</v>
          </cell>
          <cell r="G194">
            <v>3.8260000000000001</v>
          </cell>
        </row>
        <row r="195">
          <cell r="B195">
            <v>5.8360000000000003</v>
          </cell>
          <cell r="C195">
            <v>40.5</v>
          </cell>
          <cell r="G195">
            <v>3.88</v>
          </cell>
        </row>
        <row r="196">
          <cell r="B196">
            <v>5.8369999999999997</v>
          </cell>
          <cell r="C196">
            <v>41</v>
          </cell>
          <cell r="G196">
            <v>3.92</v>
          </cell>
        </row>
        <row r="197">
          <cell r="B197">
            <v>5.875</v>
          </cell>
          <cell r="C197">
            <v>41.5</v>
          </cell>
          <cell r="G197">
            <v>3.9580000000000002</v>
          </cell>
        </row>
        <row r="198">
          <cell r="B198">
            <v>5.92</v>
          </cell>
          <cell r="C198">
            <v>41.7</v>
          </cell>
          <cell r="G198">
            <v>4</v>
          </cell>
        </row>
        <row r="199">
          <cell r="B199">
            <v>5.9649999999999999</v>
          </cell>
          <cell r="C199">
            <v>42</v>
          </cell>
          <cell r="G199">
            <v>4.0439999999999996</v>
          </cell>
        </row>
        <row r="200">
          <cell r="B200">
            <v>5.9889999999999999</v>
          </cell>
          <cell r="C200">
            <v>42.5</v>
          </cell>
          <cell r="G200">
            <v>4.0519999999999996</v>
          </cell>
        </row>
        <row r="201">
          <cell r="B201">
            <v>5.9989999999999997</v>
          </cell>
          <cell r="C201">
            <v>42.7</v>
          </cell>
          <cell r="G201">
            <v>4.09</v>
          </cell>
        </row>
        <row r="202">
          <cell r="B202">
            <v>6</v>
          </cell>
          <cell r="C202">
            <v>42.8</v>
          </cell>
          <cell r="G202">
            <v>4.1840000000000002</v>
          </cell>
        </row>
        <row r="203">
          <cell r="B203">
            <v>6.0010000000000003</v>
          </cell>
          <cell r="C203">
            <v>43</v>
          </cell>
          <cell r="G203">
            <v>4.2140000000000004</v>
          </cell>
        </row>
        <row r="204">
          <cell r="B204">
            <v>6.0039999999999996</v>
          </cell>
          <cell r="C204">
            <v>43.5</v>
          </cell>
          <cell r="G204">
            <v>4.2759999999999998</v>
          </cell>
        </row>
        <row r="205">
          <cell r="B205">
            <v>6.04</v>
          </cell>
          <cell r="C205">
            <v>43.7</v>
          </cell>
          <cell r="G205">
            <v>4.4080000000000004</v>
          </cell>
        </row>
        <row r="206">
          <cell r="B206">
            <v>6.048</v>
          </cell>
          <cell r="C206">
            <v>44</v>
          </cell>
          <cell r="G206">
            <v>4.4400000000000004</v>
          </cell>
        </row>
        <row r="207">
          <cell r="B207">
            <v>6.0490000000000004</v>
          </cell>
          <cell r="C207">
            <v>45</v>
          </cell>
          <cell r="G207">
            <v>4.548</v>
          </cell>
        </row>
        <row r="208">
          <cell r="B208">
            <v>6.085</v>
          </cell>
          <cell r="C208">
            <v>45.3</v>
          </cell>
          <cell r="G208">
            <v>4.67</v>
          </cell>
        </row>
        <row r="209">
          <cell r="B209">
            <v>6.0940000000000003</v>
          </cell>
          <cell r="C209">
            <v>45.4</v>
          </cell>
          <cell r="G209">
            <v>4.7329999999999997</v>
          </cell>
        </row>
        <row r="210">
          <cell r="B210">
            <v>6.125</v>
          </cell>
          <cell r="C210">
            <v>45.45</v>
          </cell>
          <cell r="G210">
            <v>4.7779999999999996</v>
          </cell>
        </row>
        <row r="211">
          <cell r="B211">
            <v>6.1349999999999998</v>
          </cell>
          <cell r="C211">
            <v>45.5</v>
          </cell>
          <cell r="G211">
            <v>4.7880000000000003</v>
          </cell>
        </row>
        <row r="212">
          <cell r="B212">
            <v>6.1539999999999999</v>
          </cell>
          <cell r="C212">
            <v>46.1</v>
          </cell>
          <cell r="G212">
            <v>4.859</v>
          </cell>
        </row>
        <row r="213">
          <cell r="B213">
            <v>6.1680000000000001</v>
          </cell>
          <cell r="C213">
            <v>46.4</v>
          </cell>
          <cell r="G213">
            <v>4.8920000000000003</v>
          </cell>
        </row>
        <row r="214">
          <cell r="B214">
            <v>6.1840000000000002</v>
          </cell>
          <cell r="C214">
            <v>47</v>
          </cell>
          <cell r="G214">
            <v>4.9749999999999996</v>
          </cell>
        </row>
        <row r="215">
          <cell r="B215">
            <v>6.2009999999999996</v>
          </cell>
          <cell r="C215">
            <v>47.1</v>
          </cell>
          <cell r="G215">
            <v>5.5750000000000002</v>
          </cell>
        </row>
        <row r="216">
          <cell r="B216">
            <v>6.2140000000000004</v>
          </cell>
          <cell r="C216">
            <v>47.5</v>
          </cell>
          <cell r="G216">
            <v>5.6749999999999998</v>
          </cell>
        </row>
        <row r="217">
          <cell r="B217">
            <v>6.2489999999999997</v>
          </cell>
          <cell r="C217">
            <v>48</v>
          </cell>
          <cell r="G217">
            <v>5.7610000000000001</v>
          </cell>
        </row>
        <row r="218">
          <cell r="B218">
            <v>6.25</v>
          </cell>
          <cell r="C218">
            <v>48.6</v>
          </cell>
          <cell r="G218">
            <v>5.7910000000000004</v>
          </cell>
        </row>
        <row r="219">
          <cell r="B219">
            <v>6.2510000000000003</v>
          </cell>
          <cell r="C219">
            <v>49</v>
          </cell>
          <cell r="G219">
            <v>5.82</v>
          </cell>
        </row>
        <row r="220">
          <cell r="B220">
            <v>6.2549999999999999</v>
          </cell>
          <cell r="C220">
            <v>49.1</v>
          </cell>
          <cell r="G220">
            <v>5.92</v>
          </cell>
        </row>
        <row r="221">
          <cell r="B221">
            <v>6.2759999999999998</v>
          </cell>
          <cell r="C221">
            <v>49.5</v>
          </cell>
          <cell r="G221">
            <v>5.9210000000000003</v>
          </cell>
        </row>
        <row r="222">
          <cell r="B222">
            <v>6.2869999999999999</v>
          </cell>
          <cell r="C222">
            <v>49.7</v>
          </cell>
          <cell r="G222">
            <v>5.9649999999999999</v>
          </cell>
        </row>
        <row r="223">
          <cell r="B223">
            <v>6.3360000000000003</v>
          </cell>
          <cell r="C223">
            <v>50</v>
          </cell>
          <cell r="G223">
            <v>6.0039999999999996</v>
          </cell>
        </row>
        <row r="224">
          <cell r="B224">
            <v>6.3449999999999998</v>
          </cell>
          <cell r="C224">
            <v>50.1</v>
          </cell>
          <cell r="G224">
            <v>6.0650000000000004</v>
          </cell>
        </row>
        <row r="225">
          <cell r="B225">
            <v>6.3659999999999997</v>
          </cell>
          <cell r="C225">
            <v>50.2</v>
          </cell>
          <cell r="G225">
            <v>6.0940000000000003</v>
          </cell>
        </row>
        <row r="226">
          <cell r="B226">
            <v>6.3739999999999997</v>
          </cell>
          <cell r="C226">
            <v>50.4</v>
          </cell>
          <cell r="G226">
            <v>6.1840000000000002</v>
          </cell>
        </row>
        <row r="227">
          <cell r="B227">
            <v>6.375</v>
          </cell>
          <cell r="C227">
            <v>50.5</v>
          </cell>
          <cell r="G227">
            <v>6.2759999999999998</v>
          </cell>
        </row>
        <row r="228">
          <cell r="B228">
            <v>6.3840000000000003</v>
          </cell>
          <cell r="C228">
            <v>51</v>
          </cell>
          <cell r="G228">
            <v>6.3659999999999997</v>
          </cell>
        </row>
        <row r="229">
          <cell r="B229">
            <v>6.3979999999999997</v>
          </cell>
          <cell r="C229">
            <v>51.15</v>
          </cell>
          <cell r="G229">
            <v>6.9690000000000003</v>
          </cell>
        </row>
        <row r="230">
          <cell r="B230">
            <v>6.4349999999999996</v>
          </cell>
          <cell r="C230">
            <v>51.2</v>
          </cell>
          <cell r="G230">
            <v>7.8250000000000002</v>
          </cell>
        </row>
        <row r="231">
          <cell r="B231">
            <v>6.4560000000000004</v>
          </cell>
          <cell r="C231">
            <v>52</v>
          </cell>
        </row>
        <row r="232">
          <cell r="B232">
            <v>6.46</v>
          </cell>
          <cell r="C232">
            <v>52.5</v>
          </cell>
        </row>
        <row r="233">
          <cell r="B233">
            <v>6.47</v>
          </cell>
          <cell r="C233">
            <v>52.8</v>
          </cell>
        </row>
        <row r="234">
          <cell r="B234">
            <v>6.5010000000000003</v>
          </cell>
          <cell r="C234">
            <v>53</v>
          </cell>
        </row>
        <row r="235">
          <cell r="B235">
            <v>6.5380000000000003</v>
          </cell>
          <cell r="C235">
            <v>53.5</v>
          </cell>
        </row>
        <row r="236">
          <cell r="B236">
            <v>6.56</v>
          </cell>
          <cell r="C236">
            <v>53.6</v>
          </cell>
        </row>
        <row r="237">
          <cell r="B237">
            <v>6.625</v>
          </cell>
          <cell r="C237">
            <v>53.7</v>
          </cell>
        </row>
        <row r="238">
          <cell r="B238">
            <v>6.6520000000000001</v>
          </cell>
          <cell r="C238">
            <v>54</v>
          </cell>
        </row>
        <row r="239">
          <cell r="B239">
            <v>6.6550000000000002</v>
          </cell>
          <cell r="C239">
            <v>54.5</v>
          </cell>
        </row>
        <row r="240">
          <cell r="B240">
            <v>6.7050000000000001</v>
          </cell>
          <cell r="C240">
            <v>55</v>
          </cell>
        </row>
        <row r="241">
          <cell r="B241">
            <v>6.7510000000000003</v>
          </cell>
          <cell r="C241">
            <v>55.3</v>
          </cell>
        </row>
        <row r="242">
          <cell r="B242">
            <v>6.7649999999999997</v>
          </cell>
          <cell r="C242">
            <v>55.5</v>
          </cell>
        </row>
        <row r="243">
          <cell r="B243">
            <v>6.875</v>
          </cell>
          <cell r="C243">
            <v>56.8</v>
          </cell>
        </row>
        <row r="244">
          <cell r="B244">
            <v>6.9690000000000003</v>
          </cell>
          <cell r="C244">
            <v>57</v>
          </cell>
        </row>
        <row r="245">
          <cell r="B245">
            <v>7.0010000000000003</v>
          </cell>
          <cell r="C245">
            <v>57.1</v>
          </cell>
        </row>
        <row r="246">
          <cell r="B246">
            <v>7.0250000000000004</v>
          </cell>
          <cell r="C246">
            <v>58.4</v>
          </cell>
        </row>
        <row r="247">
          <cell r="B247">
            <v>7.085</v>
          </cell>
          <cell r="C247">
            <v>58.7</v>
          </cell>
        </row>
        <row r="248">
          <cell r="B248">
            <v>7.125</v>
          </cell>
          <cell r="C248">
            <v>59.2</v>
          </cell>
        </row>
        <row r="249">
          <cell r="B249">
            <v>7.1849999999999996</v>
          </cell>
          <cell r="C249">
            <v>59.4</v>
          </cell>
        </row>
        <row r="250">
          <cell r="B250">
            <v>7.2510000000000003</v>
          </cell>
          <cell r="C250">
            <v>59.9</v>
          </cell>
        </row>
        <row r="251">
          <cell r="B251">
            <v>7.2629999999999999</v>
          </cell>
          <cell r="C251">
            <v>60</v>
          </cell>
        </row>
        <row r="252">
          <cell r="B252">
            <v>7.2850000000000001</v>
          </cell>
          <cell r="C252">
            <v>60.5</v>
          </cell>
        </row>
        <row r="253">
          <cell r="B253">
            <v>7.375</v>
          </cell>
          <cell r="C253">
            <v>60.7</v>
          </cell>
        </row>
        <row r="254">
          <cell r="B254">
            <v>7.3849999999999998</v>
          </cell>
          <cell r="C254">
            <v>61</v>
          </cell>
        </row>
        <row r="255">
          <cell r="B255">
            <v>7.3860000000000001</v>
          </cell>
          <cell r="C255">
            <v>61.1</v>
          </cell>
        </row>
        <row r="256">
          <cell r="B256">
            <v>7.4349999999999996</v>
          </cell>
          <cell r="C256">
            <v>61.15</v>
          </cell>
        </row>
        <row r="257">
          <cell r="B257">
            <v>7.44</v>
          </cell>
          <cell r="C257">
            <v>62.8</v>
          </cell>
        </row>
        <row r="258">
          <cell r="B258">
            <v>7.4850000000000003</v>
          </cell>
          <cell r="C258">
            <v>62.9</v>
          </cell>
        </row>
        <row r="259">
          <cell r="B259">
            <v>7.5010000000000003</v>
          </cell>
          <cell r="C259">
            <v>63.2</v>
          </cell>
        </row>
        <row r="260">
          <cell r="B260">
            <v>7.5110000000000001</v>
          </cell>
          <cell r="C260">
            <v>63.5</v>
          </cell>
        </row>
        <row r="261">
          <cell r="B261">
            <v>7.5279999999999996</v>
          </cell>
          <cell r="C261">
            <v>63.9</v>
          </cell>
        </row>
        <row r="262">
          <cell r="B262">
            <v>7.5369999999999999</v>
          </cell>
          <cell r="C262">
            <v>64.900000000000006</v>
          </cell>
        </row>
        <row r="263">
          <cell r="B263">
            <v>7.625</v>
          </cell>
          <cell r="C263">
            <v>65</v>
          </cell>
        </row>
        <row r="264">
          <cell r="B264">
            <v>7.6280000000000001</v>
          </cell>
          <cell r="C264">
            <v>65.7</v>
          </cell>
        </row>
        <row r="265">
          <cell r="B265">
            <v>7.6360000000000001</v>
          </cell>
          <cell r="C265">
            <v>65.8</v>
          </cell>
        </row>
        <row r="266">
          <cell r="B266">
            <v>7.6509999999999998</v>
          </cell>
          <cell r="C266">
            <v>66.7</v>
          </cell>
        </row>
        <row r="267">
          <cell r="B267">
            <v>7.657</v>
          </cell>
          <cell r="C267">
            <v>66.900000000000006</v>
          </cell>
        </row>
        <row r="268">
          <cell r="B268">
            <v>7.7249999999999996</v>
          </cell>
          <cell r="C268">
            <v>67.099999999999994</v>
          </cell>
        </row>
        <row r="269">
          <cell r="B269">
            <v>7.7750000000000004</v>
          </cell>
          <cell r="C269">
            <v>68</v>
          </cell>
        </row>
        <row r="270">
          <cell r="B270">
            <v>7.7809999999999997</v>
          </cell>
          <cell r="C270">
            <v>68.099999999999994</v>
          </cell>
        </row>
        <row r="271">
          <cell r="B271">
            <v>7.8120000000000003</v>
          </cell>
          <cell r="C271">
            <v>70</v>
          </cell>
        </row>
        <row r="272">
          <cell r="B272">
            <v>7.8250000000000002</v>
          </cell>
          <cell r="C272">
            <v>70.3</v>
          </cell>
        </row>
        <row r="273">
          <cell r="B273">
            <v>7.907</v>
          </cell>
          <cell r="C273">
            <v>70.7</v>
          </cell>
        </row>
        <row r="274">
          <cell r="B274">
            <v>7.91</v>
          </cell>
          <cell r="C274">
            <v>71</v>
          </cell>
        </row>
        <row r="275">
          <cell r="B275">
            <v>7.9169999999999998</v>
          </cell>
          <cell r="C275">
            <v>71.099999999999994</v>
          </cell>
        </row>
        <row r="276">
          <cell r="B276">
            <v>7.9210000000000003</v>
          </cell>
          <cell r="C276">
            <v>71.3</v>
          </cell>
        </row>
        <row r="277">
          <cell r="B277">
            <v>7.9809999999999999</v>
          </cell>
          <cell r="C277">
            <v>71.8</v>
          </cell>
        </row>
        <row r="278">
          <cell r="B278">
            <v>7.9989999999999997</v>
          </cell>
          <cell r="C278">
            <v>72</v>
          </cell>
        </row>
        <row r="279">
          <cell r="B279">
            <v>8.0169999999999995</v>
          </cell>
          <cell r="C279">
            <v>72.7</v>
          </cell>
        </row>
        <row r="280">
          <cell r="B280">
            <v>8.0310000000000006</v>
          </cell>
          <cell r="C280">
            <v>73.2</v>
          </cell>
        </row>
        <row r="281">
          <cell r="B281">
            <v>8.032</v>
          </cell>
          <cell r="C281">
            <v>73.599999999999994</v>
          </cell>
        </row>
        <row r="282">
          <cell r="B282">
            <v>8.0649999999999995</v>
          </cell>
          <cell r="C282">
            <v>74.3</v>
          </cell>
        </row>
        <row r="283">
          <cell r="B283">
            <v>8.0709999999999997</v>
          </cell>
          <cell r="C283">
            <v>75</v>
          </cell>
        </row>
        <row r="284">
          <cell r="B284">
            <v>8.0969999999999995</v>
          </cell>
          <cell r="C284">
            <v>75.599999999999994</v>
          </cell>
        </row>
        <row r="285">
          <cell r="B285">
            <v>8.125</v>
          </cell>
          <cell r="C285">
            <v>76.3</v>
          </cell>
        </row>
        <row r="286">
          <cell r="B286">
            <v>8.15</v>
          </cell>
          <cell r="C286">
            <v>77</v>
          </cell>
        </row>
        <row r="287">
          <cell r="B287">
            <v>8.157</v>
          </cell>
          <cell r="C287">
            <v>77.099999999999994</v>
          </cell>
        </row>
        <row r="288">
          <cell r="B288">
            <v>8.1910000000000007</v>
          </cell>
          <cell r="C288">
            <v>77.900000000000006</v>
          </cell>
        </row>
        <row r="289">
          <cell r="B289">
            <v>8.1959999999999997</v>
          </cell>
          <cell r="C289">
            <v>78</v>
          </cell>
        </row>
        <row r="290">
          <cell r="B290">
            <v>8.2490000000000006</v>
          </cell>
          <cell r="C290">
            <v>79</v>
          </cell>
        </row>
        <row r="291">
          <cell r="B291">
            <v>8.2810000000000006</v>
          </cell>
          <cell r="C291">
            <v>79.2</v>
          </cell>
        </row>
        <row r="292">
          <cell r="B292">
            <v>8.2899999999999991</v>
          </cell>
          <cell r="C292">
            <v>80.5</v>
          </cell>
        </row>
        <row r="293">
          <cell r="B293">
            <v>8.375</v>
          </cell>
          <cell r="C293">
            <v>80.7</v>
          </cell>
        </row>
        <row r="294">
          <cell r="B294">
            <v>8.407</v>
          </cell>
          <cell r="C294">
            <v>80.8</v>
          </cell>
        </row>
        <row r="295">
          <cell r="B295">
            <v>8.42</v>
          </cell>
          <cell r="C295">
            <v>81</v>
          </cell>
        </row>
        <row r="296">
          <cell r="B296">
            <v>8.4350000000000005</v>
          </cell>
          <cell r="C296">
            <v>81.2</v>
          </cell>
        </row>
        <row r="297">
          <cell r="B297">
            <v>8.5350000000000001</v>
          </cell>
          <cell r="C297">
            <v>81.400000000000006</v>
          </cell>
        </row>
        <row r="298">
          <cell r="B298">
            <v>8.56</v>
          </cell>
          <cell r="C298">
            <v>82.1</v>
          </cell>
        </row>
        <row r="299">
          <cell r="B299">
            <v>8.6080000000000005</v>
          </cell>
          <cell r="C299">
            <v>83</v>
          </cell>
        </row>
        <row r="300">
          <cell r="B300">
            <v>8.625</v>
          </cell>
          <cell r="C300">
            <v>84</v>
          </cell>
        </row>
        <row r="301">
          <cell r="B301">
            <v>8.6560000000000006</v>
          </cell>
          <cell r="C301">
            <v>84.8</v>
          </cell>
        </row>
        <row r="302">
          <cell r="B302">
            <v>8.6809999999999992</v>
          </cell>
          <cell r="C302">
            <v>85</v>
          </cell>
        </row>
        <row r="303">
          <cell r="B303">
            <v>8.6839999999999993</v>
          </cell>
          <cell r="C303">
            <v>85.3</v>
          </cell>
        </row>
        <row r="304">
          <cell r="B304">
            <v>8.7550000000000008</v>
          </cell>
          <cell r="C304">
            <v>86</v>
          </cell>
        </row>
        <row r="305">
          <cell r="B305">
            <v>8.782</v>
          </cell>
          <cell r="C305">
            <v>87.2</v>
          </cell>
        </row>
        <row r="306">
          <cell r="B306">
            <v>8.7989999999999995</v>
          </cell>
          <cell r="C306">
            <v>87.5</v>
          </cell>
        </row>
        <row r="307">
          <cell r="B307">
            <v>8.8350000000000009</v>
          </cell>
          <cell r="C307">
            <v>88.2</v>
          </cell>
        </row>
        <row r="308">
          <cell r="B308">
            <v>8.8849999999999998</v>
          </cell>
          <cell r="C308">
            <v>90</v>
          </cell>
        </row>
        <row r="309">
          <cell r="B309">
            <v>8.9060000000000006</v>
          </cell>
          <cell r="C309">
            <v>91</v>
          </cell>
        </row>
        <row r="310">
          <cell r="B310">
            <v>8.9079999999999995</v>
          </cell>
          <cell r="C310">
            <v>91.2</v>
          </cell>
        </row>
        <row r="311">
          <cell r="B311">
            <v>8.9209999999999994</v>
          </cell>
          <cell r="C311">
            <v>92</v>
          </cell>
        </row>
        <row r="312">
          <cell r="B312">
            <v>9.0009999999999994</v>
          </cell>
          <cell r="C312">
            <v>92.5</v>
          </cell>
        </row>
        <row r="313">
          <cell r="B313">
            <v>9.016</v>
          </cell>
          <cell r="C313">
            <v>92.6</v>
          </cell>
        </row>
        <row r="314">
          <cell r="B314">
            <v>9.032</v>
          </cell>
          <cell r="C314">
            <v>92.68</v>
          </cell>
        </row>
        <row r="315">
          <cell r="B315">
            <v>9.0630000000000006</v>
          </cell>
          <cell r="C315">
            <v>92.7</v>
          </cell>
        </row>
        <row r="316">
          <cell r="B316">
            <v>9.1199999999999992</v>
          </cell>
          <cell r="C316">
            <v>94</v>
          </cell>
        </row>
        <row r="317">
          <cell r="B317">
            <v>9.1560000000000006</v>
          </cell>
          <cell r="C317">
            <v>94.5</v>
          </cell>
        </row>
        <row r="318">
          <cell r="B318">
            <v>9.1999999999999993</v>
          </cell>
          <cell r="C318">
            <v>96.5</v>
          </cell>
        </row>
        <row r="319">
          <cell r="B319">
            <v>9.25</v>
          </cell>
          <cell r="C319">
            <v>97.1</v>
          </cell>
        </row>
        <row r="320">
          <cell r="B320">
            <v>9.282</v>
          </cell>
          <cell r="C320">
            <v>97.7</v>
          </cell>
        </row>
        <row r="321">
          <cell r="B321">
            <v>9.4060000000000006</v>
          </cell>
          <cell r="C321">
            <v>98</v>
          </cell>
        </row>
        <row r="322">
          <cell r="B322">
            <v>9.42</v>
          </cell>
          <cell r="C322">
            <v>99.43</v>
          </cell>
        </row>
        <row r="323">
          <cell r="B323">
            <v>9.4339999999999993</v>
          </cell>
          <cell r="C323">
            <v>100.3</v>
          </cell>
        </row>
        <row r="324">
          <cell r="B324">
            <v>9.4499999999999993</v>
          </cell>
          <cell r="C324">
            <v>100.5</v>
          </cell>
        </row>
        <row r="325">
          <cell r="B325">
            <v>9.56</v>
          </cell>
          <cell r="C325">
            <v>102.9</v>
          </cell>
        </row>
        <row r="326">
          <cell r="B326">
            <v>9.5820000000000007</v>
          </cell>
          <cell r="C326">
            <v>103</v>
          </cell>
        </row>
        <row r="327">
          <cell r="B327">
            <v>9.66</v>
          </cell>
          <cell r="C327">
            <v>106</v>
          </cell>
        </row>
        <row r="328">
          <cell r="B328">
            <v>9.75</v>
          </cell>
          <cell r="C328">
            <v>106.13</v>
          </cell>
        </row>
        <row r="329">
          <cell r="B329">
            <v>9.76</v>
          </cell>
          <cell r="C329">
            <v>106.5</v>
          </cell>
        </row>
        <row r="330">
          <cell r="B330">
            <v>9.7840000000000007</v>
          </cell>
          <cell r="C330">
            <v>108.7</v>
          </cell>
        </row>
        <row r="331">
          <cell r="B331">
            <v>9.85</v>
          </cell>
          <cell r="C331">
            <v>109</v>
          </cell>
        </row>
        <row r="332">
          <cell r="B332">
            <v>9.9019999999999992</v>
          </cell>
          <cell r="C332">
            <v>112.78</v>
          </cell>
        </row>
        <row r="333">
          <cell r="B333">
            <v>9.9499999999999993</v>
          </cell>
          <cell r="C333">
            <v>113</v>
          </cell>
        </row>
        <row r="334">
          <cell r="B334">
            <v>9.9600000000000009</v>
          </cell>
          <cell r="C334">
            <v>114</v>
          </cell>
        </row>
        <row r="335">
          <cell r="B335">
            <v>10.050000000000001</v>
          </cell>
          <cell r="C335">
            <v>117.5</v>
          </cell>
        </row>
        <row r="336">
          <cell r="B336">
            <v>10.054</v>
          </cell>
          <cell r="C336">
            <v>119.38</v>
          </cell>
        </row>
        <row r="337">
          <cell r="B337">
            <v>10.135999999999999</v>
          </cell>
          <cell r="C337">
            <v>128</v>
          </cell>
        </row>
        <row r="338">
          <cell r="B338">
            <v>10.192</v>
          </cell>
          <cell r="C338">
            <v>131</v>
          </cell>
        </row>
        <row r="339">
          <cell r="B339">
            <v>10.282</v>
          </cell>
          <cell r="C339">
            <v>133</v>
          </cell>
        </row>
        <row r="340">
          <cell r="B340">
            <v>10.368</v>
          </cell>
          <cell r="C340">
            <v>146</v>
          </cell>
        </row>
        <row r="341">
          <cell r="B341">
            <v>10.38</v>
          </cell>
          <cell r="C341">
            <v>163</v>
          </cell>
        </row>
        <row r="342">
          <cell r="B342">
            <v>10.406000000000001</v>
          </cell>
          <cell r="C342">
            <v>169</v>
          </cell>
        </row>
        <row r="343">
          <cell r="B343">
            <v>10.438000000000001</v>
          </cell>
          <cell r="C343">
            <v>175</v>
          </cell>
        </row>
        <row r="344">
          <cell r="B344">
            <v>10.513999999999999</v>
          </cell>
          <cell r="C344">
            <v>187</v>
          </cell>
        </row>
        <row r="345">
          <cell r="B345">
            <v>10.532</v>
          </cell>
          <cell r="C345">
            <v>235</v>
          </cell>
        </row>
        <row r="346">
          <cell r="B346">
            <v>10.552</v>
          </cell>
          <cell r="C346">
            <v>304</v>
          </cell>
        </row>
        <row r="347">
          <cell r="B347">
            <v>10.586</v>
          </cell>
          <cell r="C347">
            <v>310</v>
          </cell>
        </row>
        <row r="348">
          <cell r="B348">
            <v>10.656000000000001</v>
          </cell>
        </row>
        <row r="349">
          <cell r="B349">
            <v>10.682</v>
          </cell>
        </row>
        <row r="350">
          <cell r="B350">
            <v>10.711</v>
          </cell>
        </row>
        <row r="351">
          <cell r="B351">
            <v>10.772</v>
          </cell>
        </row>
        <row r="352">
          <cell r="B352">
            <v>10.88</v>
          </cell>
        </row>
        <row r="353">
          <cell r="B353">
            <v>11</v>
          </cell>
        </row>
        <row r="354">
          <cell r="B354">
            <v>11.084</v>
          </cell>
        </row>
        <row r="355">
          <cell r="B355">
            <v>11.09</v>
          </cell>
        </row>
        <row r="356">
          <cell r="B356">
            <v>11.15</v>
          </cell>
        </row>
        <row r="357">
          <cell r="B357">
            <v>11.35</v>
          </cell>
        </row>
        <row r="358">
          <cell r="B358">
            <v>11.384</v>
          </cell>
        </row>
        <row r="359">
          <cell r="B359">
            <v>11.513999999999999</v>
          </cell>
        </row>
        <row r="360">
          <cell r="B360">
            <v>11.75</v>
          </cell>
        </row>
        <row r="361">
          <cell r="B361">
            <v>11.907</v>
          </cell>
        </row>
        <row r="362">
          <cell r="B362">
            <v>11.936999999999999</v>
          </cell>
        </row>
        <row r="363">
          <cell r="B363">
            <v>11.97</v>
          </cell>
        </row>
        <row r="364">
          <cell r="B364">
            <v>12</v>
          </cell>
        </row>
        <row r="365">
          <cell r="B365">
            <v>12.031000000000001</v>
          </cell>
        </row>
        <row r="366">
          <cell r="B366">
            <v>12.09</v>
          </cell>
        </row>
        <row r="367">
          <cell r="B367">
            <v>12.125</v>
          </cell>
        </row>
        <row r="368">
          <cell r="B368">
            <v>12.13</v>
          </cell>
        </row>
        <row r="369">
          <cell r="B369">
            <v>12.159000000000001</v>
          </cell>
        </row>
        <row r="370">
          <cell r="B370">
            <v>12.175000000000001</v>
          </cell>
        </row>
        <row r="371">
          <cell r="B371">
            <v>12.215</v>
          </cell>
        </row>
        <row r="372">
          <cell r="B372">
            <v>12.22</v>
          </cell>
        </row>
        <row r="373">
          <cell r="B373">
            <v>12.275</v>
          </cell>
        </row>
        <row r="374">
          <cell r="B374">
            <v>12.282</v>
          </cell>
        </row>
        <row r="375">
          <cell r="B375">
            <v>12.3</v>
          </cell>
        </row>
        <row r="376">
          <cell r="B376">
            <v>12.34</v>
          </cell>
        </row>
        <row r="377">
          <cell r="B377">
            <v>12.347</v>
          </cell>
        </row>
        <row r="378">
          <cell r="B378">
            <v>12.36</v>
          </cell>
        </row>
        <row r="379">
          <cell r="B379">
            <v>12.375</v>
          </cell>
        </row>
        <row r="380">
          <cell r="B380">
            <v>12.4</v>
          </cell>
        </row>
        <row r="381">
          <cell r="B381">
            <v>12.414999999999999</v>
          </cell>
        </row>
        <row r="382">
          <cell r="B382">
            <v>12.438000000000001</v>
          </cell>
        </row>
        <row r="383">
          <cell r="B383">
            <v>12.481999999999999</v>
          </cell>
        </row>
        <row r="384">
          <cell r="B384">
            <v>12.5</v>
          </cell>
        </row>
        <row r="385">
          <cell r="B385">
            <v>12.515000000000001</v>
          </cell>
        </row>
        <row r="386">
          <cell r="B386">
            <v>12.6</v>
          </cell>
        </row>
        <row r="387">
          <cell r="B387">
            <v>12.615</v>
          </cell>
        </row>
        <row r="388">
          <cell r="B388">
            <v>12.7</v>
          </cell>
        </row>
        <row r="389">
          <cell r="B389">
            <v>12.715</v>
          </cell>
        </row>
        <row r="390">
          <cell r="B390">
            <v>13.25</v>
          </cell>
        </row>
        <row r="391">
          <cell r="B391">
            <v>13.3</v>
          </cell>
        </row>
        <row r="392">
          <cell r="B392">
            <v>13.448</v>
          </cell>
        </row>
        <row r="393">
          <cell r="B393">
            <v>14.188000000000001</v>
          </cell>
        </row>
        <row r="394">
          <cell r="B394">
            <v>14.24</v>
          </cell>
        </row>
        <row r="395">
          <cell r="B395">
            <v>14.25</v>
          </cell>
        </row>
        <row r="396">
          <cell r="B396">
            <v>14.417999999999999</v>
          </cell>
        </row>
        <row r="397">
          <cell r="B397">
            <v>14.438000000000001</v>
          </cell>
        </row>
        <row r="398">
          <cell r="B398">
            <v>14.667999999999999</v>
          </cell>
        </row>
        <row r="399">
          <cell r="B399">
            <v>14.688000000000001</v>
          </cell>
        </row>
        <row r="400">
          <cell r="B400">
            <v>15</v>
          </cell>
        </row>
        <row r="401">
          <cell r="B401">
            <v>15.01</v>
          </cell>
        </row>
        <row r="402">
          <cell r="B402">
            <v>15.124000000000001</v>
          </cell>
        </row>
        <row r="403">
          <cell r="B403">
            <v>15.198</v>
          </cell>
        </row>
        <row r="404">
          <cell r="B404">
            <v>15.24</v>
          </cell>
        </row>
        <row r="405">
          <cell r="B405">
            <v>15.25</v>
          </cell>
        </row>
        <row r="406">
          <cell r="B406">
            <v>15.375</v>
          </cell>
        </row>
        <row r="407">
          <cell r="B407">
            <v>15.396000000000001</v>
          </cell>
        </row>
        <row r="408">
          <cell r="B408">
            <v>16.213999999999999</v>
          </cell>
        </row>
        <row r="409">
          <cell r="B409">
            <v>16.986000000000001</v>
          </cell>
        </row>
        <row r="410">
          <cell r="B410">
            <v>17.088000000000001</v>
          </cell>
        </row>
        <row r="411">
          <cell r="B411">
            <v>17.123999999999999</v>
          </cell>
        </row>
        <row r="412">
          <cell r="B412">
            <v>17.126000000000001</v>
          </cell>
        </row>
        <row r="413">
          <cell r="B413">
            <v>17.13</v>
          </cell>
        </row>
        <row r="414">
          <cell r="B414">
            <v>17.181999999999999</v>
          </cell>
        </row>
        <row r="415">
          <cell r="B415">
            <v>17.193999999999999</v>
          </cell>
        </row>
        <row r="416">
          <cell r="B416">
            <v>17.25</v>
          </cell>
        </row>
        <row r="417">
          <cell r="B417">
            <v>17.439</v>
          </cell>
        </row>
        <row r="418">
          <cell r="B418">
            <v>17.562999999999999</v>
          </cell>
        </row>
        <row r="419">
          <cell r="B419">
            <v>17.652999999999999</v>
          </cell>
        </row>
        <row r="420">
          <cell r="B420">
            <v>17.655000000000001</v>
          </cell>
        </row>
        <row r="421">
          <cell r="B421">
            <v>17.689</v>
          </cell>
        </row>
        <row r="422">
          <cell r="B422">
            <v>17.754999999999999</v>
          </cell>
        </row>
        <row r="423">
          <cell r="B423">
            <v>17.855</v>
          </cell>
        </row>
        <row r="424">
          <cell r="B424">
            <v>17.875</v>
          </cell>
        </row>
        <row r="425">
          <cell r="B425">
            <v>18</v>
          </cell>
        </row>
        <row r="426">
          <cell r="B426">
            <v>18.126000000000001</v>
          </cell>
        </row>
        <row r="427">
          <cell r="B427">
            <v>18.187999999999999</v>
          </cell>
        </row>
        <row r="428">
          <cell r="B428">
            <v>18.25</v>
          </cell>
        </row>
        <row r="429">
          <cell r="B429">
            <v>18.314</v>
          </cell>
        </row>
        <row r="430">
          <cell r="B430">
            <v>18.376000000000001</v>
          </cell>
        </row>
        <row r="431">
          <cell r="B431">
            <v>18.437999999999999</v>
          </cell>
        </row>
        <row r="432">
          <cell r="B432">
            <v>18.542000000000002</v>
          </cell>
        </row>
        <row r="433">
          <cell r="B433">
            <v>18.562000000000001</v>
          </cell>
        </row>
        <row r="434">
          <cell r="B434">
            <v>18.73</v>
          </cell>
        </row>
        <row r="435">
          <cell r="B435">
            <v>18.75</v>
          </cell>
        </row>
        <row r="436">
          <cell r="B436">
            <v>18.812000000000001</v>
          </cell>
        </row>
        <row r="437">
          <cell r="B437">
            <v>18.936</v>
          </cell>
        </row>
        <row r="438">
          <cell r="B438">
            <v>19</v>
          </cell>
        </row>
        <row r="439">
          <cell r="B439">
            <v>19.123999999999999</v>
          </cell>
        </row>
        <row r="440">
          <cell r="B440">
            <v>19.166</v>
          </cell>
        </row>
        <row r="441">
          <cell r="B441">
            <v>19.181999999999999</v>
          </cell>
        </row>
        <row r="442">
          <cell r="B442">
            <v>19.190000000000001</v>
          </cell>
        </row>
        <row r="443">
          <cell r="B443">
            <v>20.51</v>
          </cell>
        </row>
        <row r="444">
          <cell r="B444">
            <v>20.61</v>
          </cell>
        </row>
        <row r="445">
          <cell r="B445">
            <v>20.71</v>
          </cell>
        </row>
        <row r="446">
          <cell r="B446">
            <v>21</v>
          </cell>
        </row>
        <row r="447">
          <cell r="B447">
            <v>21.027999999999999</v>
          </cell>
        </row>
        <row r="448">
          <cell r="B448">
            <v>21.125</v>
          </cell>
        </row>
        <row r="449">
          <cell r="B449">
            <v>21.128</v>
          </cell>
        </row>
        <row r="450">
          <cell r="B450">
            <v>21.222000000000001</v>
          </cell>
        </row>
        <row r="451">
          <cell r="B451">
            <v>21.5</v>
          </cell>
        </row>
        <row r="452">
          <cell r="B452">
            <v>23.123999999999999</v>
          </cell>
        </row>
        <row r="453">
          <cell r="B453">
            <v>23.225999999999999</v>
          </cell>
        </row>
        <row r="454">
          <cell r="B454">
            <v>23.65</v>
          </cell>
        </row>
        <row r="455">
          <cell r="B455">
            <v>23.75</v>
          </cell>
        </row>
        <row r="456">
          <cell r="B456">
            <v>28</v>
          </cell>
        </row>
        <row r="457">
          <cell r="B457">
            <v>28.5</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otes"/>
      <sheetName val="Ext. B&amp;C"/>
      <sheetName val="Cyl. B&amp;C"/>
      <sheetName val="Test"/>
      <sheetName val="Turns-Torque calcs"/>
      <sheetName val="Calculations"/>
      <sheetName val="1"/>
      <sheetName val="2"/>
      <sheetName val="3"/>
      <sheetName val="Tool Report"/>
      <sheetName val="TST Calcs &amp; checklist"/>
      <sheetName val="Run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R LOG"/>
      <sheetName val="laroux"/>
      <sheetName val="PA BPR0058"/>
      <sheetName val="PA BPR0041"/>
      <sheetName val="PA BPR010"/>
      <sheetName val="PA BPR005"/>
      <sheetName val="PA BPR001"/>
      <sheetName val="BPR Form"/>
      <sheetName val="Product Lines"/>
      <sheetName val="Quotes"/>
      <sheetName val="Count Chart"/>
      <sheetName val="Count Chart per Cause"/>
      <sheetName val="Open Time Chart per Cause"/>
      <sheetName val="Cost per Cause Chart"/>
      <sheetName val="BPR Form from Cade Log"/>
      <sheetName val="BPR_LOG"/>
      <sheetName val="PA_BPR0058"/>
      <sheetName val="PA_BPR0041"/>
      <sheetName val="PA_BPR010"/>
      <sheetName val="PA_BPR005"/>
      <sheetName val="PA_BPR001"/>
      <sheetName val="BPR_Form"/>
      <sheetName val="Product_Lines"/>
      <sheetName val="Count_Chart"/>
      <sheetName val="DR_Log"/>
      <sheetName val="Info"/>
      <sheetName val="Data"/>
      <sheetName val="Run_Report"/>
      <sheetName val="General"/>
      <sheetName val="info_page"/>
      <sheetName val="BPR_LOG1"/>
      <sheetName val="PA_BPR00581"/>
      <sheetName val="PA_BPR00411"/>
      <sheetName val="PA_BPR0101"/>
      <sheetName val="PA_BPR0051"/>
      <sheetName val="PA_BPR0011"/>
      <sheetName val="BPR_Form1"/>
      <sheetName val="Product_Lines1"/>
      <sheetName val="Count_Chart1"/>
    </sheetNames>
    <sheetDataSet>
      <sheetData sheetId="0" refreshError="1">
        <row r="1">
          <cell r="A1" t="str">
            <v>BPR No.</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Header"/>
      <sheetName val="General"/>
      <sheetName val="Data"/>
      <sheetName val="Directions"/>
      <sheetName val="Quote Form"/>
      <sheetName val="Packer Layout Sheet"/>
      <sheetName val="Asset Retirement"/>
      <sheetName val="Machine Shop"/>
      <sheetName val="Well File Checklist"/>
    </sheetNames>
    <sheetDataSet>
      <sheetData sheetId="0"/>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page"/>
      <sheetName val="Job Kit Checklist"/>
      <sheetName val="Work Authorization"/>
      <sheetName val="Completion Report"/>
      <sheetName val="Job Log pg1"/>
      <sheetName val="Job Log pg 2"/>
      <sheetName val="Drawing 8x14"/>
      <sheetName val="Job Closure"/>
      <sheetName val="Damaged Tool Report"/>
      <sheetName val="Billing Package"/>
      <sheetName val="Terms &amp; Conditions"/>
      <sheetName val="Field Accident Rep"/>
      <sheetName val="Module 8x14"/>
      <sheetName val="Input1"/>
      <sheetName val="Input2"/>
      <sheetName val="Import"/>
      <sheetName val="DataSheet"/>
      <sheetName val="Inse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tric Conversions"/>
      <sheetName val="Casing Info"/>
      <sheetName val="DATA"/>
      <sheetName val="Rev"/>
      <sheetName val="Liner Job Info"/>
      <sheetName val="Weight Calculations"/>
      <sheetName val="Displacement Cal."/>
      <sheetName val="Test"/>
      <sheetName val="Tally"/>
      <sheetName val="Job Log"/>
      <sheetName val="Database Pg1"/>
      <sheetName val="Database Pg2"/>
      <sheetName val="Ball Seat Info"/>
      <sheetName val="Liner Drawing"/>
      <sheetName val="Mill Tally"/>
      <sheetName val="Tieback Tally"/>
      <sheetName val="Tieback Drawing"/>
      <sheetName val="UNIT PET HANKAMER TRAM #1 4 5in"/>
    </sheetNames>
    <sheetDataSet>
      <sheetData sheetId="0"/>
      <sheetData sheetId="1"/>
      <sheetData sheetId="2"/>
      <sheetData sheetId="3"/>
      <sheetData sheetId="4">
        <row r="5">
          <cell r="O5" t="str">
            <v>JENNIFER SENA</v>
          </cell>
        </row>
        <row r="11">
          <cell r="E11">
            <v>5988784</v>
          </cell>
        </row>
        <row r="19">
          <cell r="M19">
            <v>14500</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DA2C-5BC1-412D-AFDF-1522645632FA}">
  <dimension ref="A1:Q110"/>
  <sheetViews>
    <sheetView tabSelected="1" workbookViewId="0">
      <pane ySplit="1" topLeftCell="A21" activePane="bottomLeft" state="frozen"/>
      <selection pane="bottomLeft" activeCell="E112" sqref="E112"/>
    </sheetView>
  </sheetViews>
  <sheetFormatPr defaultRowHeight="14.4" x14ac:dyDescent="0.3"/>
  <cols>
    <col min="1" max="1" width="22.109375" style="1" bestFit="1" customWidth="1"/>
  </cols>
  <sheetData>
    <row r="1" spans="1:17"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t="s">
        <v>18</v>
      </c>
      <c r="C2" t="s">
        <v>19</v>
      </c>
      <c r="D2" t="s">
        <v>18</v>
      </c>
      <c r="E2" t="s">
        <v>19</v>
      </c>
      <c r="F2" t="s">
        <v>18</v>
      </c>
      <c r="G2" t="s">
        <v>18</v>
      </c>
      <c r="H2" t="s">
        <v>20</v>
      </c>
      <c r="I2" t="s">
        <v>20</v>
      </c>
      <c r="J2" t="s">
        <v>21</v>
      </c>
      <c r="K2" t="s">
        <v>22</v>
      </c>
      <c r="L2" t="s">
        <v>23</v>
      </c>
      <c r="M2" t="s">
        <v>24</v>
      </c>
      <c r="N2" t="s">
        <v>24</v>
      </c>
      <c r="O2" t="s">
        <v>25</v>
      </c>
      <c r="P2" t="s">
        <v>24</v>
      </c>
      <c r="Q2" t="s">
        <v>24</v>
      </c>
    </row>
    <row r="3" spans="1:17" x14ac:dyDescent="0.3">
      <c r="A3" s="1">
        <v>46172.375</v>
      </c>
      <c r="B3">
        <v>2317.5795899999998</v>
      </c>
      <c r="C3">
        <v>98.821168</v>
      </c>
      <c r="D3">
        <v>7199.8734539999996</v>
      </c>
      <c r="E3">
        <v>197.61798099999999</v>
      </c>
      <c r="F3">
        <v>4882.2938640000002</v>
      </c>
      <c r="G3">
        <v>7354.630956</v>
      </c>
      <c r="H3">
        <v>912.32466299999999</v>
      </c>
      <c r="I3">
        <v>236.08674999999999</v>
      </c>
      <c r="J3">
        <v>684</v>
      </c>
      <c r="K3">
        <v>20.557680999999999</v>
      </c>
      <c r="L3">
        <v>611.875944</v>
      </c>
      <c r="M3">
        <v>894.555474</v>
      </c>
      <c r="N3">
        <v>237.33930699999999</v>
      </c>
      <c r="O3">
        <v>6.0675E-2</v>
      </c>
      <c r="P3">
        <v>106685.61702200001</v>
      </c>
      <c r="Q3">
        <v>30748.125102999998</v>
      </c>
    </row>
    <row r="4" spans="1:17" x14ac:dyDescent="0.3">
      <c r="A4" s="1">
        <v>46173.375</v>
      </c>
      <c r="B4">
        <v>2299.5643449999998</v>
      </c>
      <c r="C4">
        <v>99.372763000000006</v>
      </c>
      <c r="D4">
        <v>7175.8800460000002</v>
      </c>
      <c r="E4">
        <v>197.666596</v>
      </c>
      <c r="F4">
        <v>4876.3157010000004</v>
      </c>
      <c r="G4">
        <v>7330.4971450000003</v>
      </c>
      <c r="H4">
        <v>918.61598600000002</v>
      </c>
      <c r="I4">
        <v>233.49782200000001</v>
      </c>
      <c r="J4">
        <v>684</v>
      </c>
      <c r="K4">
        <v>20.266905999999999</v>
      </c>
      <c r="L4">
        <v>625.753286</v>
      </c>
      <c r="M4">
        <v>914.84398499999998</v>
      </c>
      <c r="N4">
        <v>238.18387000000001</v>
      </c>
      <c r="O4">
        <v>6.1301000000000001E-2</v>
      </c>
      <c r="P4">
        <v>107600.46100700001</v>
      </c>
      <c r="Q4">
        <v>30986.308972999999</v>
      </c>
    </row>
    <row r="5" spans="1:17" x14ac:dyDescent="0.3">
      <c r="A5" s="1">
        <v>46174.375</v>
      </c>
      <c r="B5">
        <v>2300.436768</v>
      </c>
      <c r="C5">
        <v>100.385515</v>
      </c>
      <c r="D5">
        <v>7182.7574869999999</v>
      </c>
      <c r="E5">
        <v>197.62159700000001</v>
      </c>
      <c r="F5">
        <v>4882.3207190000003</v>
      </c>
      <c r="G5">
        <v>7337.634462</v>
      </c>
      <c r="H5">
        <v>904.52769899999998</v>
      </c>
      <c r="I5">
        <v>238.972162</v>
      </c>
      <c r="J5">
        <v>684</v>
      </c>
      <c r="K5">
        <v>20.898311</v>
      </c>
      <c r="L5">
        <v>620.83581000000004</v>
      </c>
      <c r="M5">
        <v>907.65469299999995</v>
      </c>
      <c r="N5">
        <v>239.39820900000001</v>
      </c>
      <c r="O5">
        <v>6.1921999999999998E-2</v>
      </c>
      <c r="P5">
        <v>108508.11569999999</v>
      </c>
      <c r="Q5">
        <v>31225.707181999998</v>
      </c>
    </row>
    <row r="6" spans="1:17" x14ac:dyDescent="0.3">
      <c r="A6" s="1">
        <v>46175.375</v>
      </c>
      <c r="B6">
        <v>2304.4933270000001</v>
      </c>
      <c r="C6">
        <v>99.673122000000006</v>
      </c>
      <c r="D6">
        <v>7184.6669920000004</v>
      </c>
      <c r="E6">
        <v>197.61229</v>
      </c>
      <c r="F6">
        <v>4880.1736650000003</v>
      </c>
      <c r="G6">
        <v>7339.4132570000002</v>
      </c>
      <c r="H6">
        <v>902.89826000000005</v>
      </c>
      <c r="I6">
        <v>234.10616200000001</v>
      </c>
      <c r="J6">
        <v>684</v>
      </c>
      <c r="K6">
        <v>20.589732000000001</v>
      </c>
      <c r="L6">
        <v>614.73285799999996</v>
      </c>
      <c r="M6">
        <v>898.73224800000003</v>
      </c>
      <c r="N6">
        <v>241.319964</v>
      </c>
      <c r="O6">
        <v>6.2535999999999994E-2</v>
      </c>
      <c r="P6">
        <v>109406.847949</v>
      </c>
      <c r="Q6">
        <v>31467.027146</v>
      </c>
    </row>
    <row r="7" spans="1:17" x14ac:dyDescent="0.3">
      <c r="A7" s="1">
        <v>46176.375</v>
      </c>
      <c r="B7">
        <v>2268.179443</v>
      </c>
      <c r="C7">
        <v>99.073599000000002</v>
      </c>
      <c r="D7">
        <v>7157.6851399999996</v>
      </c>
      <c r="E7">
        <v>197.66584</v>
      </c>
      <c r="F7">
        <v>4889.5056969999996</v>
      </c>
      <c r="G7">
        <v>7312.7651169999999</v>
      </c>
      <c r="H7">
        <v>896.72300199999995</v>
      </c>
      <c r="I7">
        <v>244.948733</v>
      </c>
      <c r="J7">
        <v>684</v>
      </c>
      <c r="K7">
        <v>21.455268</v>
      </c>
      <c r="L7">
        <v>613.57820000000004</v>
      </c>
      <c r="M7">
        <v>897.04415200000005</v>
      </c>
      <c r="N7">
        <v>240.64142899999999</v>
      </c>
      <c r="O7">
        <v>6.3149999999999998E-2</v>
      </c>
      <c r="P7">
        <v>110303.892101</v>
      </c>
      <c r="Q7">
        <v>31707.668576</v>
      </c>
    </row>
    <row r="8" spans="1:17" x14ac:dyDescent="0.3">
      <c r="A8" s="1">
        <v>46177.375</v>
      </c>
      <c r="B8">
        <v>4551.7025549999998</v>
      </c>
      <c r="C8">
        <v>84.367769999999993</v>
      </c>
      <c r="D8">
        <v>9604.1700849999997</v>
      </c>
      <c r="E8">
        <v>195.13349299999999</v>
      </c>
      <c r="F8">
        <v>5052.4675299999999</v>
      </c>
      <c r="G8">
        <v>9800.5987280000008</v>
      </c>
      <c r="H8">
        <v>0</v>
      </c>
      <c r="I8">
        <v>0</v>
      </c>
      <c r="J8">
        <v>0</v>
      </c>
      <c r="K8">
        <v>0</v>
      </c>
      <c r="L8">
        <v>485.06504200000001</v>
      </c>
      <c r="M8">
        <v>709.15941799999996</v>
      </c>
      <c r="N8">
        <v>185.73394500000001</v>
      </c>
      <c r="O8">
        <v>6.3634999999999997E-2</v>
      </c>
      <c r="P8">
        <v>111013.051519</v>
      </c>
      <c r="Q8">
        <v>31893.40252</v>
      </c>
    </row>
    <row r="9" spans="1:17" x14ac:dyDescent="0.3">
      <c r="A9" s="1">
        <v>46178.375</v>
      </c>
      <c r="B9">
        <v>3611.8594560000001</v>
      </c>
      <c r="C9">
        <v>86.324144000000004</v>
      </c>
      <c r="D9">
        <v>9744.7251789999991</v>
      </c>
      <c r="E9">
        <v>192.26863800000001</v>
      </c>
      <c r="F9">
        <v>6132.8657229999999</v>
      </c>
      <c r="G9">
        <v>9941.1538220000002</v>
      </c>
      <c r="H9">
        <v>0</v>
      </c>
      <c r="I9">
        <v>0</v>
      </c>
      <c r="J9">
        <v>0</v>
      </c>
      <c r="K9">
        <v>0</v>
      </c>
      <c r="L9">
        <v>32.559424</v>
      </c>
      <c r="M9">
        <v>47.609864000000002</v>
      </c>
      <c r="N9">
        <v>44.178294999999999</v>
      </c>
      <c r="O9">
        <v>6.3667000000000001E-2</v>
      </c>
      <c r="P9">
        <v>111060.66138200001</v>
      </c>
      <c r="Q9">
        <v>31937.580816000002</v>
      </c>
    </row>
    <row r="10" spans="1:17" x14ac:dyDescent="0.3">
      <c r="A10" s="1">
        <v>46179.375</v>
      </c>
      <c r="B10">
        <v>1849.7844030000001</v>
      </c>
      <c r="C10">
        <v>87.934565000000006</v>
      </c>
      <c r="D10">
        <v>7881.1735840000001</v>
      </c>
      <c r="E10">
        <v>194.156721</v>
      </c>
      <c r="F10">
        <v>6031.3891809999996</v>
      </c>
      <c r="G10">
        <v>8046.6166899999998</v>
      </c>
      <c r="H10">
        <v>469.30350299999998</v>
      </c>
      <c r="I10">
        <v>368.33797399999997</v>
      </c>
      <c r="J10">
        <v>684</v>
      </c>
      <c r="K10">
        <v>43.973224999999999</v>
      </c>
      <c r="L10">
        <v>50.349516999999999</v>
      </c>
      <c r="M10">
        <v>73.517214999999993</v>
      </c>
      <c r="N10">
        <v>82.25994</v>
      </c>
      <c r="O10">
        <v>6.3715999999999995E-2</v>
      </c>
      <c r="P10">
        <v>111134.178598</v>
      </c>
      <c r="Q10">
        <v>32019.840756000001</v>
      </c>
    </row>
    <row r="11" spans="1:17" x14ac:dyDescent="0.3">
      <c r="A11" s="1">
        <v>46180.375</v>
      </c>
      <c r="B11">
        <v>2040.8741460000001</v>
      </c>
      <c r="C11">
        <v>94.789644999999993</v>
      </c>
      <c r="D11">
        <v>7102.0812990000004</v>
      </c>
      <c r="E11">
        <v>197.714144</v>
      </c>
      <c r="F11">
        <v>5061.2071530000003</v>
      </c>
      <c r="G11">
        <v>7260.0810170000004</v>
      </c>
      <c r="H11">
        <v>818.84879899999999</v>
      </c>
      <c r="I11">
        <v>326.27569999999997</v>
      </c>
      <c r="J11">
        <v>684</v>
      </c>
      <c r="K11">
        <v>28.492595999999999</v>
      </c>
      <c r="L11">
        <v>458.93151899999998</v>
      </c>
      <c r="M11">
        <v>670.95251299999995</v>
      </c>
      <c r="N11">
        <v>376.98522100000002</v>
      </c>
      <c r="O11">
        <v>6.4174999999999996E-2</v>
      </c>
      <c r="P11">
        <v>111805.131111</v>
      </c>
      <c r="Q11">
        <v>32396.825977</v>
      </c>
    </row>
    <row r="12" spans="1:17" x14ac:dyDescent="0.3">
      <c r="A12" s="1">
        <v>46181.375</v>
      </c>
      <c r="B12">
        <v>2080.5249020000001</v>
      </c>
      <c r="C12">
        <v>96.157780000000002</v>
      </c>
      <c r="D12">
        <v>7083.7086589999999</v>
      </c>
      <c r="E12">
        <v>197.87480300000001</v>
      </c>
      <c r="F12">
        <v>5003.1837569999998</v>
      </c>
      <c r="G12">
        <v>7239.8865070000002</v>
      </c>
      <c r="H12">
        <v>869.126125</v>
      </c>
      <c r="I12">
        <v>278.39147700000001</v>
      </c>
      <c r="J12">
        <v>684</v>
      </c>
      <c r="K12">
        <v>24.260323</v>
      </c>
      <c r="L12">
        <v>549.91866200000004</v>
      </c>
      <c r="M12">
        <v>810.69469500000002</v>
      </c>
      <c r="N12">
        <v>303.53176400000001</v>
      </c>
      <c r="O12">
        <v>6.4709000000000003E-2</v>
      </c>
      <c r="P12">
        <v>112615.82580599999</v>
      </c>
      <c r="Q12">
        <v>32700.357741</v>
      </c>
    </row>
    <row r="13" spans="1:17" x14ac:dyDescent="0.3">
      <c r="A13" s="1">
        <v>46182.375</v>
      </c>
      <c r="B13">
        <v>2095.835693</v>
      </c>
      <c r="C13">
        <v>96.128169</v>
      </c>
      <c r="D13">
        <v>7068.2096350000002</v>
      </c>
      <c r="E13">
        <v>197.99091200000001</v>
      </c>
      <c r="F13">
        <v>4972.3739420000002</v>
      </c>
      <c r="G13">
        <v>7223.3954960000001</v>
      </c>
      <c r="H13">
        <v>897.875272</v>
      </c>
      <c r="I13">
        <v>252.162047</v>
      </c>
      <c r="J13">
        <v>684</v>
      </c>
      <c r="K13">
        <v>21.926423</v>
      </c>
      <c r="L13">
        <v>606.37766999999997</v>
      </c>
      <c r="M13">
        <v>886.51706200000001</v>
      </c>
      <c r="N13">
        <v>260.91386899999998</v>
      </c>
      <c r="O13">
        <v>6.5314999999999998E-2</v>
      </c>
      <c r="P13">
        <v>113502.34286800001</v>
      </c>
      <c r="Q13">
        <v>32961.271610000003</v>
      </c>
    </row>
    <row r="14" spans="1:17" x14ac:dyDescent="0.3">
      <c r="A14" s="1">
        <v>46183.375</v>
      </c>
      <c r="B14">
        <v>2094.3306480000001</v>
      </c>
      <c r="C14">
        <v>96.616354000000001</v>
      </c>
      <c r="D14">
        <v>7040.4535690000002</v>
      </c>
      <c r="E14">
        <v>198.09081800000001</v>
      </c>
      <c r="F14">
        <v>4946.1229210000001</v>
      </c>
      <c r="G14">
        <v>7194.856076</v>
      </c>
      <c r="H14">
        <v>924.98163599999998</v>
      </c>
      <c r="I14">
        <v>232.52814699999999</v>
      </c>
      <c r="J14">
        <v>684</v>
      </c>
      <c r="K14">
        <v>20.088654999999999</v>
      </c>
      <c r="L14">
        <v>428.06506999999999</v>
      </c>
      <c r="M14">
        <v>625.29336499999999</v>
      </c>
      <c r="N14">
        <v>245.43485200000001</v>
      </c>
      <c r="O14">
        <v>6.5736000000000003E-2</v>
      </c>
      <c r="P14">
        <v>114127.636232</v>
      </c>
      <c r="Q14">
        <v>33206.706461000002</v>
      </c>
    </row>
    <row r="15" spans="1:17" x14ac:dyDescent="0.3">
      <c r="A15" s="1">
        <v>46184.375</v>
      </c>
      <c r="B15">
        <v>2159.0415039999998</v>
      </c>
      <c r="C15">
        <v>96.659458999999998</v>
      </c>
      <c r="D15">
        <v>7114.2130530000004</v>
      </c>
      <c r="E15">
        <v>197.86654999999999</v>
      </c>
      <c r="F15">
        <v>4955.1715489999997</v>
      </c>
      <c r="G15">
        <v>7268.7432660000004</v>
      </c>
      <c r="H15">
        <v>899.113562</v>
      </c>
      <c r="I15">
        <v>228.563095</v>
      </c>
      <c r="J15">
        <v>684</v>
      </c>
      <c r="K15">
        <v>20.268495999999999</v>
      </c>
      <c r="L15">
        <v>621.71085600000004</v>
      </c>
      <c r="M15">
        <v>908.93399999999997</v>
      </c>
      <c r="N15">
        <v>225.965181</v>
      </c>
      <c r="O15">
        <v>6.6356999999999999E-2</v>
      </c>
      <c r="P15">
        <v>115036.57023300001</v>
      </c>
      <c r="Q15">
        <v>33432.671642000001</v>
      </c>
    </row>
    <row r="16" spans="1:17" x14ac:dyDescent="0.3">
      <c r="A16" s="1">
        <v>46185.375</v>
      </c>
      <c r="B16">
        <v>2186.7839359999998</v>
      </c>
      <c r="C16">
        <v>97.568573000000001</v>
      </c>
      <c r="D16">
        <v>7133.9801429999998</v>
      </c>
      <c r="E16">
        <v>197.837616</v>
      </c>
      <c r="F16">
        <v>4947.196207</v>
      </c>
      <c r="G16">
        <v>7288.2463170000001</v>
      </c>
      <c r="H16">
        <v>898.64267199999995</v>
      </c>
      <c r="I16">
        <v>219.04233199999999</v>
      </c>
      <c r="J16">
        <v>684</v>
      </c>
      <c r="K16">
        <v>19.597859</v>
      </c>
      <c r="L16">
        <v>614.76835800000003</v>
      </c>
      <c r="M16">
        <v>898.78414899999996</v>
      </c>
      <c r="N16">
        <v>223.63468800000001</v>
      </c>
      <c r="O16">
        <v>6.6972000000000004E-2</v>
      </c>
      <c r="P16">
        <v>115935.354382</v>
      </c>
      <c r="Q16">
        <v>33656.306329999999</v>
      </c>
    </row>
    <row r="17" spans="1:17" x14ac:dyDescent="0.3">
      <c r="A17" s="1">
        <v>46186.375</v>
      </c>
      <c r="B17">
        <v>2109.9033199999999</v>
      </c>
      <c r="C17">
        <v>96.072001</v>
      </c>
      <c r="D17">
        <v>7074.0299480000003</v>
      </c>
      <c r="E17">
        <v>197.836715</v>
      </c>
      <c r="F17">
        <v>4964.126628</v>
      </c>
      <c r="G17">
        <v>7228.9157770000002</v>
      </c>
      <c r="H17">
        <v>895.89661699999999</v>
      </c>
      <c r="I17">
        <v>241.091758</v>
      </c>
      <c r="J17">
        <v>684</v>
      </c>
      <c r="K17">
        <v>21.204416999999999</v>
      </c>
      <c r="L17">
        <v>299.02195799999998</v>
      </c>
      <c r="M17">
        <v>436.50082200000003</v>
      </c>
      <c r="N17">
        <v>267.20729399999999</v>
      </c>
      <c r="O17">
        <v>6.7263000000000003E-2</v>
      </c>
      <c r="P17">
        <v>116371.85520400001</v>
      </c>
      <c r="Q17">
        <v>33923.513623999999</v>
      </c>
    </row>
    <row r="18" spans="1:17" x14ac:dyDescent="0.3">
      <c r="A18" s="1">
        <v>46187.375</v>
      </c>
      <c r="B18">
        <v>2146.4133299999999</v>
      </c>
      <c r="C18">
        <v>95.721478000000005</v>
      </c>
      <c r="D18">
        <v>7128.283203</v>
      </c>
      <c r="E18">
        <v>196.904303</v>
      </c>
      <c r="F18">
        <v>4981.8698729999996</v>
      </c>
      <c r="G18">
        <v>7283.6144180000001</v>
      </c>
      <c r="H18">
        <v>867.75573199999997</v>
      </c>
      <c r="I18">
        <v>246.567791</v>
      </c>
      <c r="J18">
        <v>684</v>
      </c>
      <c r="K18">
        <v>22.127127999999999</v>
      </c>
      <c r="L18">
        <v>482.13698099999999</v>
      </c>
      <c r="M18">
        <v>705.74372400000004</v>
      </c>
      <c r="N18">
        <v>261.68272000000002</v>
      </c>
      <c r="O18">
        <v>6.7731E-2</v>
      </c>
      <c r="P18">
        <v>117077.59892800001</v>
      </c>
      <c r="Q18">
        <v>34185.196344000004</v>
      </c>
    </row>
    <row r="19" spans="1:17" x14ac:dyDescent="0.3">
      <c r="A19" s="1">
        <v>46188.375</v>
      </c>
      <c r="B19">
        <v>2401.592204</v>
      </c>
      <c r="C19">
        <v>94.385632999999999</v>
      </c>
      <c r="D19">
        <v>7450.6066080000001</v>
      </c>
      <c r="E19">
        <v>196.976563</v>
      </c>
      <c r="F19">
        <v>5049.0144039999996</v>
      </c>
      <c r="G19">
        <v>7607.5982569999996</v>
      </c>
      <c r="H19">
        <v>738.65806099999998</v>
      </c>
      <c r="I19">
        <v>254.48845800000001</v>
      </c>
      <c r="J19">
        <v>684</v>
      </c>
      <c r="K19">
        <v>25.624462999999999</v>
      </c>
      <c r="L19">
        <v>433.16103900000002</v>
      </c>
      <c r="M19">
        <v>635.57154200000002</v>
      </c>
      <c r="N19">
        <v>265.06032599999998</v>
      </c>
      <c r="O19">
        <v>6.8156999999999995E-2</v>
      </c>
      <c r="P19">
        <v>117713.17047</v>
      </c>
      <c r="Q19">
        <v>34450.256669000002</v>
      </c>
    </row>
    <row r="20" spans="1:17" x14ac:dyDescent="0.3">
      <c r="A20" s="1">
        <v>46189.375</v>
      </c>
      <c r="B20">
        <v>2576.8149410000001</v>
      </c>
      <c r="C20">
        <v>94.518096999999997</v>
      </c>
      <c r="D20">
        <v>7588.8098959999998</v>
      </c>
      <c r="E20">
        <v>196.474221</v>
      </c>
      <c r="F20">
        <v>5011.9949550000001</v>
      </c>
      <c r="G20">
        <v>7744.462415</v>
      </c>
      <c r="H20">
        <v>731.33302200000003</v>
      </c>
      <c r="I20">
        <v>208.29814400000001</v>
      </c>
      <c r="J20">
        <v>684</v>
      </c>
      <c r="K20">
        <v>22.168075000000002</v>
      </c>
      <c r="L20">
        <v>481.04900400000002</v>
      </c>
      <c r="M20">
        <v>702.34110199999998</v>
      </c>
      <c r="N20">
        <v>222.380291</v>
      </c>
      <c r="O20">
        <v>6.8627999999999995E-2</v>
      </c>
      <c r="P20">
        <v>118415.511573</v>
      </c>
      <c r="Q20">
        <v>34672.636960000003</v>
      </c>
    </row>
    <row r="21" spans="1:17" x14ac:dyDescent="0.3">
      <c r="A21" s="1">
        <v>46190.375</v>
      </c>
      <c r="B21">
        <v>2529.9012039999998</v>
      </c>
      <c r="C21">
        <v>94.719442999999998</v>
      </c>
      <c r="D21">
        <v>7540.1326499999996</v>
      </c>
      <c r="E21">
        <v>196.60141300000001</v>
      </c>
      <c r="F21">
        <v>5010.2314459999998</v>
      </c>
      <c r="G21">
        <v>7695.8091480000003</v>
      </c>
      <c r="H21">
        <v>741.69908099999998</v>
      </c>
      <c r="I21">
        <v>213.09280100000001</v>
      </c>
      <c r="J21">
        <v>684</v>
      </c>
      <c r="K21">
        <v>22.318245999999998</v>
      </c>
      <c r="L21">
        <v>502.01557300000002</v>
      </c>
      <c r="M21">
        <v>733.94089599999995</v>
      </c>
      <c r="N21">
        <v>214.70072300000001</v>
      </c>
      <c r="O21">
        <v>6.9129999999999997E-2</v>
      </c>
      <c r="P21">
        <v>119149.452469</v>
      </c>
      <c r="Q21">
        <v>34887.337682999998</v>
      </c>
    </row>
    <row r="22" spans="1:17" x14ac:dyDescent="0.3">
      <c r="A22" s="1">
        <v>46191.375</v>
      </c>
      <c r="B22">
        <v>2530.4464790000002</v>
      </c>
      <c r="C22">
        <v>94.375432000000004</v>
      </c>
      <c r="D22">
        <v>7552.7034510000003</v>
      </c>
      <c r="E22">
        <v>196.58908</v>
      </c>
      <c r="F22">
        <v>5022.2569720000001</v>
      </c>
      <c r="G22">
        <v>7708.6982200000002</v>
      </c>
      <c r="H22">
        <v>728.86461099999997</v>
      </c>
      <c r="I22">
        <v>218.58015700000001</v>
      </c>
      <c r="J22">
        <v>684</v>
      </c>
      <c r="K22">
        <v>23.070491000000001</v>
      </c>
      <c r="L22">
        <v>502.151611</v>
      </c>
      <c r="M22">
        <v>734.13978199999997</v>
      </c>
      <c r="N22">
        <v>218.392157</v>
      </c>
      <c r="O22">
        <v>6.9631999999999999E-2</v>
      </c>
      <c r="P22">
        <v>119883.59225099999</v>
      </c>
      <c r="Q22">
        <v>35105.72984</v>
      </c>
    </row>
    <row r="23" spans="1:17" x14ac:dyDescent="0.3">
      <c r="A23" s="1">
        <v>46192.375</v>
      </c>
      <c r="B23">
        <v>2496.7934570000002</v>
      </c>
      <c r="C23">
        <v>94.606936000000005</v>
      </c>
      <c r="D23">
        <v>7515.0465489999997</v>
      </c>
      <c r="E23">
        <v>196.64798099999999</v>
      </c>
      <c r="F23">
        <v>5018.2530919999999</v>
      </c>
      <c r="G23">
        <v>7670.9943149999999</v>
      </c>
      <c r="H23">
        <v>737.83919400000002</v>
      </c>
      <c r="I23">
        <v>220.71646200000001</v>
      </c>
      <c r="J23">
        <v>684</v>
      </c>
      <c r="K23">
        <v>23.025941</v>
      </c>
      <c r="L23">
        <v>502.85536200000001</v>
      </c>
      <c r="M23">
        <v>735.16865800000005</v>
      </c>
      <c r="N23">
        <v>218.42571000000001</v>
      </c>
      <c r="O23">
        <v>7.0135000000000003E-2</v>
      </c>
      <c r="P23">
        <v>120618.760909</v>
      </c>
      <c r="Q23">
        <v>35324.155550000003</v>
      </c>
    </row>
    <row r="24" spans="1:17" x14ac:dyDescent="0.3">
      <c r="A24" s="1">
        <v>46193.375</v>
      </c>
      <c r="B24">
        <v>1672.36967</v>
      </c>
      <c r="C24">
        <v>88.986035999999999</v>
      </c>
      <c r="D24">
        <v>7492.7032879999997</v>
      </c>
      <c r="E24">
        <v>195.578913</v>
      </c>
      <c r="F24">
        <v>5820.3336179999997</v>
      </c>
      <c r="G24">
        <v>7665.5329149999998</v>
      </c>
      <c r="H24">
        <v>391.191236</v>
      </c>
      <c r="I24">
        <v>574.98294799999996</v>
      </c>
      <c r="J24">
        <v>684</v>
      </c>
      <c r="K24">
        <v>59.511313999999999</v>
      </c>
      <c r="L24">
        <v>69.547621000000007</v>
      </c>
      <c r="M24">
        <v>101.476912</v>
      </c>
      <c r="N24">
        <v>129.01413400000001</v>
      </c>
      <c r="O24">
        <v>7.0202000000000001E-2</v>
      </c>
      <c r="P24">
        <v>120720.237822</v>
      </c>
      <c r="Q24">
        <v>35453.169684</v>
      </c>
    </row>
    <row r="25" spans="1:17" x14ac:dyDescent="0.3">
      <c r="A25" s="1">
        <v>46194.375</v>
      </c>
      <c r="B25">
        <v>1977.6682129999999</v>
      </c>
      <c r="C25">
        <v>92.734013000000004</v>
      </c>
      <c r="D25">
        <v>6947.6396480000003</v>
      </c>
      <c r="E25">
        <v>198.143</v>
      </c>
      <c r="F25">
        <v>4969.9714350000004</v>
      </c>
      <c r="G25">
        <v>7102.856616</v>
      </c>
      <c r="H25">
        <v>906.40496700000006</v>
      </c>
      <c r="I25">
        <v>259.61205200000001</v>
      </c>
      <c r="J25">
        <v>684</v>
      </c>
      <c r="K25">
        <v>22.264859999999999</v>
      </c>
      <c r="L25">
        <v>445.80830800000001</v>
      </c>
      <c r="M25">
        <v>653.09573499999999</v>
      </c>
      <c r="N25">
        <v>344.58928500000002</v>
      </c>
      <c r="O25">
        <v>7.0640999999999995E-2</v>
      </c>
      <c r="P25">
        <v>121373.33355700001</v>
      </c>
      <c r="Q25">
        <v>35797.758969000002</v>
      </c>
    </row>
    <row r="26" spans="1:17" x14ac:dyDescent="0.3">
      <c r="A26" s="1">
        <v>46195.375</v>
      </c>
      <c r="B26">
        <v>1730.4064940000001</v>
      </c>
      <c r="C26">
        <v>82.403308999999993</v>
      </c>
      <c r="D26">
        <v>8122.6263019999997</v>
      </c>
      <c r="E26">
        <v>193.974008</v>
      </c>
      <c r="F26">
        <v>6392.2198079999998</v>
      </c>
      <c r="G26">
        <v>8303.3763400000007</v>
      </c>
      <c r="H26">
        <v>191.42307</v>
      </c>
      <c r="I26">
        <v>542.34157600000003</v>
      </c>
      <c r="J26">
        <v>684</v>
      </c>
      <c r="K26">
        <v>73.912198000000004</v>
      </c>
      <c r="L26">
        <v>103.84569999999999</v>
      </c>
      <c r="M26">
        <v>151.17947699999999</v>
      </c>
      <c r="N26">
        <v>78.168682000000004</v>
      </c>
      <c r="O26">
        <v>7.0740999999999998E-2</v>
      </c>
      <c r="P26">
        <v>121524.513034</v>
      </c>
      <c r="Q26">
        <v>35875.927650999998</v>
      </c>
    </row>
    <row r="27" spans="1:17" x14ac:dyDescent="0.3">
      <c r="A27" s="1">
        <v>46196.375</v>
      </c>
      <c r="B27">
        <v>1994.222209</v>
      </c>
      <c r="C27">
        <v>92.414608000000001</v>
      </c>
      <c r="D27">
        <v>7002.5369469999996</v>
      </c>
      <c r="E27">
        <v>198.395499</v>
      </c>
      <c r="F27">
        <v>5008.314738</v>
      </c>
      <c r="G27">
        <v>7158.8739409999998</v>
      </c>
      <c r="H27">
        <v>860.19029499999999</v>
      </c>
      <c r="I27">
        <v>284.73135600000001</v>
      </c>
      <c r="J27">
        <v>684</v>
      </c>
      <c r="K27">
        <v>24.869069</v>
      </c>
      <c r="L27">
        <v>454.82203500000003</v>
      </c>
      <c r="M27">
        <v>664.92511000000002</v>
      </c>
      <c r="N27">
        <v>419.77527199999997</v>
      </c>
      <c r="O27">
        <v>7.1194999999999994E-2</v>
      </c>
      <c r="P27">
        <v>122189.438144</v>
      </c>
      <c r="Q27">
        <v>36295.702922999997</v>
      </c>
    </row>
    <row r="28" spans="1:17" x14ac:dyDescent="0.3">
      <c r="A28" s="1">
        <v>46197.375</v>
      </c>
      <c r="B28">
        <v>4557.1117080000004</v>
      </c>
      <c r="C28">
        <v>85.466930000000005</v>
      </c>
      <c r="D28">
        <v>9774.8063149999998</v>
      </c>
      <c r="E28">
        <v>195.461332</v>
      </c>
      <c r="F28">
        <v>5217.6946070000004</v>
      </c>
      <c r="G28">
        <v>9971.2349579999991</v>
      </c>
      <c r="H28">
        <v>0</v>
      </c>
      <c r="I28">
        <v>0</v>
      </c>
      <c r="J28">
        <v>0</v>
      </c>
      <c r="K28">
        <v>0</v>
      </c>
      <c r="L28">
        <v>464.09844199999998</v>
      </c>
      <c r="M28">
        <v>678.50649399999998</v>
      </c>
      <c r="N28">
        <v>223.19961000000001</v>
      </c>
      <c r="O28">
        <v>7.1659E-2</v>
      </c>
      <c r="P28">
        <v>122867.944638</v>
      </c>
      <c r="Q28">
        <v>36518.902533</v>
      </c>
    </row>
    <row r="29" spans="1:17" x14ac:dyDescent="0.3">
      <c r="A29" s="1">
        <v>46198.375</v>
      </c>
      <c r="B29">
        <v>1946.2802730000001</v>
      </c>
      <c r="C29">
        <v>91.613811999999996</v>
      </c>
      <c r="D29">
        <v>6955.0265300000001</v>
      </c>
      <c r="E29">
        <v>198.209543</v>
      </c>
      <c r="F29">
        <v>5008.7462569999998</v>
      </c>
      <c r="G29">
        <v>7111.4608740000003</v>
      </c>
      <c r="H29">
        <v>869.77975800000002</v>
      </c>
      <c r="I29">
        <v>292.36947600000002</v>
      </c>
      <c r="J29">
        <v>684</v>
      </c>
      <c r="K29">
        <v>25.157653</v>
      </c>
      <c r="L29">
        <v>247.74001000000001</v>
      </c>
      <c r="M29">
        <v>362.34513900000002</v>
      </c>
      <c r="N29">
        <v>211.25927300000001</v>
      </c>
      <c r="O29">
        <v>7.1899000000000005E-2</v>
      </c>
      <c r="P29">
        <v>123230.289777</v>
      </c>
      <c r="Q29">
        <v>36730.161805999996</v>
      </c>
    </row>
    <row r="30" spans="1:17" x14ac:dyDescent="0.3">
      <c r="A30" s="1">
        <v>46199.375</v>
      </c>
      <c r="B30">
        <v>2034.8545329999999</v>
      </c>
      <c r="C30">
        <v>92.914064999999994</v>
      </c>
      <c r="D30">
        <v>6975.483236</v>
      </c>
      <c r="E30">
        <v>198.29811599999999</v>
      </c>
      <c r="F30">
        <v>4940.6287030000003</v>
      </c>
      <c r="G30">
        <v>7129.6437669999996</v>
      </c>
      <c r="H30">
        <v>926.46463200000005</v>
      </c>
      <c r="I30">
        <v>227.063985</v>
      </c>
      <c r="J30">
        <v>684</v>
      </c>
      <c r="K30">
        <v>19.684296</v>
      </c>
      <c r="L30">
        <v>446.12976800000001</v>
      </c>
      <c r="M30">
        <v>654.63207899999998</v>
      </c>
      <c r="N30">
        <v>282.13527800000003</v>
      </c>
      <c r="O30">
        <v>7.2332999999999995E-2</v>
      </c>
      <c r="P30">
        <v>123884.921856</v>
      </c>
      <c r="Q30">
        <v>37012.297082999998</v>
      </c>
    </row>
    <row r="31" spans="1:17" x14ac:dyDescent="0.3">
      <c r="A31" s="1">
        <v>46200.375</v>
      </c>
      <c r="B31">
        <v>2050.5251459999999</v>
      </c>
      <c r="C31">
        <v>94.618266000000006</v>
      </c>
      <c r="D31">
        <v>6961.4798179999998</v>
      </c>
      <c r="E31">
        <v>198.462693</v>
      </c>
      <c r="F31">
        <v>4910.9546719999998</v>
      </c>
      <c r="G31">
        <v>7114.7734</v>
      </c>
      <c r="H31">
        <v>953.83288800000003</v>
      </c>
      <c r="I31">
        <v>203.738741</v>
      </c>
      <c r="J31">
        <v>684</v>
      </c>
      <c r="K31">
        <v>17.600529999999999</v>
      </c>
      <c r="L31">
        <v>645.37380599999995</v>
      </c>
      <c r="M31">
        <v>943.52895599999999</v>
      </c>
      <c r="N31">
        <v>201.658706</v>
      </c>
      <c r="O31">
        <v>7.2978000000000001E-2</v>
      </c>
      <c r="P31">
        <v>124828.450812</v>
      </c>
      <c r="Q31">
        <v>37213.955789</v>
      </c>
    </row>
    <row r="32" spans="1:17" x14ac:dyDescent="0.3">
      <c r="A32" s="1">
        <v>46201.375</v>
      </c>
      <c r="B32">
        <v>2056.0136910000001</v>
      </c>
      <c r="C32">
        <v>94.813032000000007</v>
      </c>
      <c r="D32">
        <v>6945.5597330000001</v>
      </c>
      <c r="E32">
        <v>198.49419399999999</v>
      </c>
      <c r="F32">
        <v>4889.5460419999999</v>
      </c>
      <c r="G32">
        <v>7098.1879779999999</v>
      </c>
      <c r="H32">
        <v>976.50057600000002</v>
      </c>
      <c r="I32">
        <v>185.81841399999999</v>
      </c>
      <c r="J32">
        <v>684</v>
      </c>
      <c r="K32">
        <v>15.986869</v>
      </c>
      <c r="L32">
        <v>659.64785900000004</v>
      </c>
      <c r="M32">
        <v>964.39745500000004</v>
      </c>
      <c r="N32">
        <v>192.80557899999999</v>
      </c>
      <c r="O32">
        <v>7.3637999999999995E-2</v>
      </c>
      <c r="P32">
        <v>125792.84826699999</v>
      </c>
      <c r="Q32">
        <v>37406.761369</v>
      </c>
    </row>
    <row r="33" spans="1:17" x14ac:dyDescent="0.3">
      <c r="A33" s="1">
        <v>46202.375</v>
      </c>
      <c r="B33">
        <v>2036.293762</v>
      </c>
      <c r="C33">
        <v>96.626778999999999</v>
      </c>
      <c r="D33">
        <v>6907.3834639999995</v>
      </c>
      <c r="E33">
        <v>198.62284099999999</v>
      </c>
      <c r="F33">
        <v>4871.0897020000002</v>
      </c>
      <c r="G33">
        <v>7059.6026439999996</v>
      </c>
      <c r="H33">
        <v>998.40364499999998</v>
      </c>
      <c r="I33">
        <v>176.841553</v>
      </c>
      <c r="J33">
        <v>684</v>
      </c>
      <c r="K33">
        <v>15.047205</v>
      </c>
      <c r="L33">
        <v>682.54035099999999</v>
      </c>
      <c r="M33">
        <v>997.86601099999996</v>
      </c>
      <c r="N33">
        <v>176.46396100000001</v>
      </c>
      <c r="O33">
        <v>7.4319999999999997E-2</v>
      </c>
      <c r="P33">
        <v>126790.714278</v>
      </c>
      <c r="Q33">
        <v>37583.225330000001</v>
      </c>
    </row>
    <row r="34" spans="1:17" x14ac:dyDescent="0.3">
      <c r="A34" s="1">
        <v>46203.375</v>
      </c>
      <c r="B34">
        <v>4505.9340819999998</v>
      </c>
      <c r="C34">
        <v>96.859055999999995</v>
      </c>
      <c r="D34">
        <v>9654.8361000000004</v>
      </c>
      <c r="E34">
        <v>197.39966200000001</v>
      </c>
      <c r="F34">
        <v>5148.9020179999998</v>
      </c>
      <c r="G34">
        <v>9851.2647429999997</v>
      </c>
      <c r="H34">
        <v>0</v>
      </c>
      <c r="I34">
        <v>0</v>
      </c>
      <c r="J34">
        <v>0</v>
      </c>
      <c r="K34">
        <v>0</v>
      </c>
      <c r="L34">
        <v>644.05140300000005</v>
      </c>
      <c r="M34">
        <v>941.59561799999994</v>
      </c>
      <c r="N34">
        <v>165.91139899999999</v>
      </c>
      <c r="O34">
        <v>7.4964000000000003E-2</v>
      </c>
      <c r="P34">
        <v>127732.30989600001</v>
      </c>
      <c r="Q34">
        <v>37749.136727999998</v>
      </c>
    </row>
    <row r="35" spans="1:17" x14ac:dyDescent="0.3">
      <c r="A35" s="1">
        <v>46204.375</v>
      </c>
      <c r="B35">
        <v>2126.8823240000002</v>
      </c>
      <c r="C35">
        <v>94.629357999999996</v>
      </c>
      <c r="D35">
        <v>7026.0730789999998</v>
      </c>
      <c r="E35">
        <v>198.162342</v>
      </c>
      <c r="F35">
        <v>4899.1907549999996</v>
      </c>
      <c r="G35">
        <v>7178.8105249999999</v>
      </c>
      <c r="H35">
        <v>947.59518300000002</v>
      </c>
      <c r="I35">
        <v>181.827079</v>
      </c>
      <c r="J35">
        <v>684</v>
      </c>
      <c r="K35">
        <v>16.099122999999999</v>
      </c>
      <c r="L35">
        <v>316.97009100000002</v>
      </c>
      <c r="M35">
        <v>463.58227099999999</v>
      </c>
      <c r="N35">
        <v>233.61455100000001</v>
      </c>
      <c r="O35">
        <v>7.5273000000000007E-2</v>
      </c>
      <c r="P35">
        <v>128195.89216800001</v>
      </c>
      <c r="Q35">
        <v>37982.751278999996</v>
      </c>
    </row>
    <row r="36" spans="1:17" x14ac:dyDescent="0.3">
      <c r="A36" s="1">
        <v>46205.375</v>
      </c>
      <c r="B36">
        <v>2145.039307</v>
      </c>
      <c r="C36">
        <v>95.626013999999998</v>
      </c>
      <c r="D36">
        <v>7039.3562830000001</v>
      </c>
      <c r="E36">
        <v>198.25783799999999</v>
      </c>
      <c r="F36">
        <v>4894.3169760000001</v>
      </c>
      <c r="G36">
        <v>7191.9514399999998</v>
      </c>
      <c r="H36">
        <v>946.69262300000003</v>
      </c>
      <c r="I36">
        <v>176.74518800000001</v>
      </c>
      <c r="J36">
        <v>684</v>
      </c>
      <c r="K36">
        <v>15.732530000000001</v>
      </c>
      <c r="L36">
        <v>646.83058400000004</v>
      </c>
      <c r="M36">
        <v>945.65874799999995</v>
      </c>
      <c r="N36">
        <v>181.91912400000001</v>
      </c>
      <c r="O36">
        <v>7.5920000000000001E-2</v>
      </c>
      <c r="P36">
        <v>129141.55091599999</v>
      </c>
      <c r="Q36">
        <v>38164.670403999997</v>
      </c>
    </row>
    <row r="37" spans="1:17" x14ac:dyDescent="0.3">
      <c r="A37" s="1">
        <v>46206.375</v>
      </c>
      <c r="B37">
        <v>2155.2464599999998</v>
      </c>
      <c r="C37">
        <v>96.462691000000007</v>
      </c>
      <c r="D37">
        <v>7045.5532229999999</v>
      </c>
      <c r="E37">
        <v>198.247401</v>
      </c>
      <c r="F37">
        <v>4890.3067629999996</v>
      </c>
      <c r="G37">
        <v>7198.0424139999996</v>
      </c>
      <c r="H37">
        <v>946.90621799999997</v>
      </c>
      <c r="I37">
        <v>173.15124700000001</v>
      </c>
      <c r="J37">
        <v>684</v>
      </c>
      <c r="K37">
        <v>15.45914</v>
      </c>
      <c r="L37">
        <v>649.84447899999998</v>
      </c>
      <c r="M37">
        <v>950.06502799999998</v>
      </c>
      <c r="N37">
        <v>175.06029599999999</v>
      </c>
      <c r="O37">
        <v>7.6568999999999998E-2</v>
      </c>
      <c r="P37">
        <v>130091.615944</v>
      </c>
      <c r="Q37">
        <v>38339.730699</v>
      </c>
    </row>
    <row r="38" spans="1:17" x14ac:dyDescent="0.3">
      <c r="A38" s="1">
        <v>46207.375</v>
      </c>
      <c r="B38">
        <v>2156.8166500000002</v>
      </c>
      <c r="C38">
        <v>95.126097999999999</v>
      </c>
      <c r="D38">
        <v>7048.2666019999997</v>
      </c>
      <c r="E38">
        <v>198.17660100000001</v>
      </c>
      <c r="F38">
        <v>4891.4499519999999</v>
      </c>
      <c r="G38">
        <v>7200.7166939999997</v>
      </c>
      <c r="H38">
        <v>946.314258</v>
      </c>
      <c r="I38">
        <v>171.643022</v>
      </c>
      <c r="J38">
        <v>684</v>
      </c>
      <c r="K38">
        <v>15.353272</v>
      </c>
      <c r="L38">
        <v>642.72489199999995</v>
      </c>
      <c r="M38">
        <v>939.65627500000005</v>
      </c>
      <c r="N38">
        <v>177.43606299999999</v>
      </c>
      <c r="O38">
        <v>7.7212000000000003E-2</v>
      </c>
      <c r="P38">
        <v>131031.27221900001</v>
      </c>
      <c r="Q38">
        <v>38517.166763000001</v>
      </c>
    </row>
    <row r="39" spans="1:17" x14ac:dyDescent="0.3">
      <c r="A39" s="1">
        <v>46208.375</v>
      </c>
      <c r="B39">
        <v>2132.3786009999999</v>
      </c>
      <c r="C39">
        <v>95.481312000000003</v>
      </c>
      <c r="D39">
        <v>7026.6296119999997</v>
      </c>
      <c r="E39">
        <v>198.19490500000001</v>
      </c>
      <c r="F39">
        <v>4894.2510110000003</v>
      </c>
      <c r="G39">
        <v>7179.2418859999998</v>
      </c>
      <c r="H39">
        <v>947.09195899999997</v>
      </c>
      <c r="I39">
        <v>177.71356800000001</v>
      </c>
      <c r="J39">
        <v>684</v>
      </c>
      <c r="K39">
        <v>15.799493</v>
      </c>
      <c r="L39">
        <v>646.23237099999994</v>
      </c>
      <c r="M39">
        <v>944.78416800000002</v>
      </c>
      <c r="N39">
        <v>174.10004499999999</v>
      </c>
      <c r="O39">
        <v>7.7857999999999997E-2</v>
      </c>
      <c r="P39">
        <v>131976.05638699999</v>
      </c>
      <c r="Q39">
        <v>38691.266808</v>
      </c>
    </row>
    <row r="40" spans="1:17" x14ac:dyDescent="0.3">
      <c r="A40" s="1">
        <v>46209.375</v>
      </c>
      <c r="B40">
        <v>2113.043823</v>
      </c>
      <c r="C40">
        <v>95.551685000000006</v>
      </c>
      <c r="D40">
        <v>6997.9627280000004</v>
      </c>
      <c r="E40">
        <v>198.22008500000001</v>
      </c>
      <c r="F40">
        <v>4884.9189050000004</v>
      </c>
      <c r="G40">
        <v>7150.3347549999999</v>
      </c>
      <c r="H40">
        <v>961.20685100000003</v>
      </c>
      <c r="I40">
        <v>173.03031300000001</v>
      </c>
      <c r="J40">
        <v>684</v>
      </c>
      <c r="K40">
        <v>15.255215</v>
      </c>
      <c r="L40">
        <v>658.13299099999995</v>
      </c>
      <c r="M40">
        <v>962.18273499999998</v>
      </c>
      <c r="N40">
        <v>170.00095899999999</v>
      </c>
      <c r="O40">
        <v>7.8517000000000003E-2</v>
      </c>
      <c r="P40">
        <v>132938.239122</v>
      </c>
      <c r="Q40">
        <v>38861.267766999998</v>
      </c>
    </row>
    <row r="41" spans="1:17" x14ac:dyDescent="0.3">
      <c r="A41" s="1">
        <v>46210.375</v>
      </c>
      <c r="B41">
        <v>4353.0229490000002</v>
      </c>
      <c r="C41">
        <v>93.703002999999995</v>
      </c>
      <c r="D41">
        <v>9587.8398440000001</v>
      </c>
      <c r="E41">
        <v>198.022999</v>
      </c>
      <c r="F41">
        <v>5234.8168949999999</v>
      </c>
      <c r="G41">
        <v>9784.2684869999994</v>
      </c>
      <c r="H41">
        <v>0</v>
      </c>
      <c r="I41">
        <v>0</v>
      </c>
      <c r="J41">
        <v>0</v>
      </c>
      <c r="K41">
        <v>0</v>
      </c>
      <c r="L41">
        <v>335.19405399999999</v>
      </c>
      <c r="M41">
        <v>489.778728</v>
      </c>
      <c r="N41">
        <v>215.85580400000001</v>
      </c>
      <c r="O41">
        <v>7.8844999999999998E-2</v>
      </c>
      <c r="P41">
        <v>133428.01785100001</v>
      </c>
      <c r="Q41">
        <v>39077.123570999996</v>
      </c>
    </row>
    <row r="42" spans="1:17" x14ac:dyDescent="0.3">
      <c r="A42" s="1">
        <v>46211.375</v>
      </c>
      <c r="B42">
        <v>4081.5192059999999</v>
      </c>
      <c r="C42">
        <v>86.284848999999994</v>
      </c>
      <c r="D42">
        <v>9800.5844730000008</v>
      </c>
      <c r="E42">
        <v>192.70031700000001</v>
      </c>
      <c r="F42">
        <v>5719.0652669999999</v>
      </c>
      <c r="G42">
        <v>9997.0131160000001</v>
      </c>
      <c r="H42">
        <v>0</v>
      </c>
      <c r="I42">
        <v>0</v>
      </c>
      <c r="J42">
        <v>0</v>
      </c>
      <c r="K42">
        <v>0</v>
      </c>
      <c r="L42">
        <v>0</v>
      </c>
      <c r="M42">
        <v>0</v>
      </c>
      <c r="N42">
        <v>0</v>
      </c>
      <c r="O42">
        <v>7.8844999999999998E-2</v>
      </c>
      <c r="P42">
        <v>133428.01785100001</v>
      </c>
      <c r="Q42">
        <v>39077.123570999996</v>
      </c>
    </row>
    <row r="43" spans="1:17" x14ac:dyDescent="0.3">
      <c r="A43" s="1">
        <v>46212.375</v>
      </c>
      <c r="B43">
        <v>4024.8562830000001</v>
      </c>
      <c r="C43">
        <v>85.101719000000003</v>
      </c>
      <c r="D43">
        <v>9858.5566409999992</v>
      </c>
      <c r="E43">
        <v>191.62372400000001</v>
      </c>
      <c r="F43">
        <v>5833.7003580000001</v>
      </c>
      <c r="G43">
        <v>10054.985284</v>
      </c>
      <c r="H43">
        <v>0</v>
      </c>
      <c r="I43">
        <v>0</v>
      </c>
      <c r="J43">
        <v>0</v>
      </c>
      <c r="K43">
        <v>0</v>
      </c>
      <c r="L43">
        <v>0</v>
      </c>
      <c r="M43">
        <v>0</v>
      </c>
      <c r="N43">
        <v>0</v>
      </c>
      <c r="O43">
        <v>7.8844999999999998E-2</v>
      </c>
      <c r="P43">
        <v>133428.01785100001</v>
      </c>
      <c r="Q43">
        <v>39077.123570999996</v>
      </c>
    </row>
    <row r="44" spans="1:17" x14ac:dyDescent="0.3">
      <c r="A44" s="1">
        <v>46213.375</v>
      </c>
      <c r="B44">
        <v>3978.4664710000002</v>
      </c>
      <c r="C44">
        <v>83.918589999999995</v>
      </c>
      <c r="D44">
        <v>9901.1396480000003</v>
      </c>
      <c r="E44">
        <v>191.017943</v>
      </c>
      <c r="F44">
        <v>5922.6731769999997</v>
      </c>
      <c r="G44">
        <v>10097.568291</v>
      </c>
      <c r="H44">
        <v>0</v>
      </c>
      <c r="I44">
        <v>0</v>
      </c>
      <c r="J44">
        <v>0</v>
      </c>
      <c r="K44">
        <v>0</v>
      </c>
      <c r="L44">
        <v>0</v>
      </c>
      <c r="M44">
        <v>0</v>
      </c>
      <c r="N44">
        <v>0</v>
      </c>
      <c r="O44">
        <v>7.8844999999999998E-2</v>
      </c>
      <c r="P44">
        <v>133428.01785100001</v>
      </c>
      <c r="Q44">
        <v>39077.123570999996</v>
      </c>
    </row>
    <row r="45" spans="1:17" x14ac:dyDescent="0.3">
      <c r="A45" s="1">
        <v>46214.375</v>
      </c>
      <c r="B45">
        <v>39.683281999999998</v>
      </c>
      <c r="C45">
        <v>82.735460000000003</v>
      </c>
      <c r="D45">
        <v>9935.7676730000003</v>
      </c>
      <c r="E45">
        <v>190.59500700000001</v>
      </c>
      <c r="F45">
        <v>9896.0843910000003</v>
      </c>
      <c r="G45">
        <v>10132.196316</v>
      </c>
      <c r="H45">
        <v>0</v>
      </c>
      <c r="I45">
        <v>0</v>
      </c>
      <c r="J45">
        <v>0</v>
      </c>
      <c r="K45">
        <v>0</v>
      </c>
      <c r="L45">
        <v>0</v>
      </c>
      <c r="M45">
        <v>0</v>
      </c>
      <c r="N45">
        <v>0</v>
      </c>
      <c r="O45">
        <v>7.8844999999999998E-2</v>
      </c>
      <c r="P45">
        <v>133428.01785100001</v>
      </c>
      <c r="Q45">
        <v>39077.123570999996</v>
      </c>
    </row>
    <row r="46" spans="1:17" x14ac:dyDescent="0.3">
      <c r="A46" s="1">
        <v>46215.375</v>
      </c>
      <c r="B46">
        <v>39.421717000000001</v>
      </c>
      <c r="C46">
        <v>81.552330999999995</v>
      </c>
      <c r="D46">
        <v>9965.0002170000007</v>
      </c>
      <c r="E46">
        <v>190.28666200000001</v>
      </c>
      <c r="F46">
        <v>9925.5784999999996</v>
      </c>
      <c r="G46">
        <v>10161.42886</v>
      </c>
      <c r="H46">
        <v>0</v>
      </c>
      <c r="I46">
        <v>0</v>
      </c>
      <c r="J46">
        <v>0</v>
      </c>
      <c r="K46">
        <v>0</v>
      </c>
      <c r="L46">
        <v>0</v>
      </c>
      <c r="M46">
        <v>0</v>
      </c>
      <c r="N46">
        <v>0</v>
      </c>
      <c r="O46">
        <v>7.8844999999999998E-2</v>
      </c>
      <c r="P46">
        <v>133428.01785100001</v>
      </c>
      <c r="Q46">
        <v>39077.123570999996</v>
      </c>
    </row>
    <row r="47" spans="1:17" x14ac:dyDescent="0.3">
      <c r="A47" s="1">
        <v>46216.375</v>
      </c>
      <c r="B47">
        <v>37.655133999999997</v>
      </c>
      <c r="C47">
        <v>80.369201000000004</v>
      </c>
      <c r="D47">
        <v>9990.0400389999995</v>
      </c>
      <c r="E47">
        <v>190.03027499999999</v>
      </c>
      <c r="F47">
        <v>9952.3849050000008</v>
      </c>
      <c r="G47">
        <v>10186.468682000001</v>
      </c>
      <c r="H47">
        <v>0</v>
      </c>
      <c r="I47">
        <v>0</v>
      </c>
      <c r="J47">
        <v>0</v>
      </c>
      <c r="K47">
        <v>0</v>
      </c>
      <c r="L47">
        <v>0</v>
      </c>
      <c r="M47">
        <v>0</v>
      </c>
      <c r="N47">
        <v>0</v>
      </c>
      <c r="O47">
        <v>7.8844999999999998E-2</v>
      </c>
      <c r="P47">
        <v>133428.01785100001</v>
      </c>
      <c r="Q47">
        <v>39077.123570999996</v>
      </c>
    </row>
    <row r="48" spans="1:17" x14ac:dyDescent="0.3">
      <c r="A48" s="1">
        <v>46217.375</v>
      </c>
      <c r="B48">
        <v>38.211148000000001</v>
      </c>
      <c r="C48">
        <v>79.186071999999996</v>
      </c>
      <c r="D48">
        <v>10012.41992</v>
      </c>
      <c r="E48">
        <v>189.81047899999999</v>
      </c>
      <c r="F48">
        <v>9974.208772</v>
      </c>
      <c r="G48">
        <v>10208.848563</v>
      </c>
      <c r="H48">
        <v>0</v>
      </c>
      <c r="I48">
        <v>0</v>
      </c>
      <c r="J48">
        <v>0</v>
      </c>
      <c r="K48">
        <v>0</v>
      </c>
      <c r="L48">
        <v>0</v>
      </c>
      <c r="M48">
        <v>0</v>
      </c>
      <c r="N48">
        <v>0</v>
      </c>
      <c r="O48">
        <v>7.8844999999999998E-2</v>
      </c>
      <c r="P48">
        <v>133428.01785100001</v>
      </c>
      <c r="Q48">
        <v>39077.123570999996</v>
      </c>
    </row>
    <row r="49" spans="1:17" x14ac:dyDescent="0.3">
      <c r="A49" s="1">
        <v>46218.375</v>
      </c>
      <c r="B49">
        <v>37.524251999999997</v>
      </c>
      <c r="C49">
        <v>78.002943000000002</v>
      </c>
      <c r="D49">
        <v>10031.88379</v>
      </c>
      <c r="E49">
        <v>189.62578600000001</v>
      </c>
      <c r="F49">
        <v>9994.3595380000006</v>
      </c>
      <c r="G49">
        <v>10228.312432999999</v>
      </c>
      <c r="H49">
        <v>0</v>
      </c>
      <c r="I49">
        <v>0</v>
      </c>
      <c r="J49">
        <v>0</v>
      </c>
      <c r="K49">
        <v>0</v>
      </c>
      <c r="L49">
        <v>0</v>
      </c>
      <c r="M49">
        <v>0</v>
      </c>
      <c r="N49">
        <v>0</v>
      </c>
      <c r="O49">
        <v>7.8844999999999998E-2</v>
      </c>
      <c r="P49">
        <v>133428.01785100001</v>
      </c>
      <c r="Q49">
        <v>39077.123570999996</v>
      </c>
    </row>
    <row r="50" spans="1:17" x14ac:dyDescent="0.3">
      <c r="A50" s="1">
        <v>46219.375</v>
      </c>
      <c r="B50">
        <v>5228.8754879999997</v>
      </c>
      <c r="C50">
        <v>76.819812999999996</v>
      </c>
      <c r="D50">
        <v>10032.5988</v>
      </c>
      <c r="E50">
        <v>189.44387499999999</v>
      </c>
      <c r="F50">
        <v>4803.7233120000001</v>
      </c>
      <c r="G50">
        <v>10229.027443000001</v>
      </c>
      <c r="H50">
        <v>0</v>
      </c>
      <c r="I50">
        <v>0</v>
      </c>
      <c r="J50">
        <v>0</v>
      </c>
      <c r="K50">
        <v>0</v>
      </c>
      <c r="L50">
        <v>0</v>
      </c>
      <c r="M50">
        <v>0</v>
      </c>
      <c r="N50">
        <v>0</v>
      </c>
      <c r="O50">
        <v>7.8844999999999998E-2</v>
      </c>
      <c r="P50">
        <v>133428.01785100001</v>
      </c>
      <c r="Q50">
        <v>39077.123570999996</v>
      </c>
    </row>
    <row r="51" spans="1:17" x14ac:dyDescent="0.3">
      <c r="A51" s="2">
        <v>46220.375</v>
      </c>
      <c r="B51">
        <v>1554.791158</v>
      </c>
      <c r="C51">
        <v>89.681314999999998</v>
      </c>
      <c r="D51">
        <v>7722.04126</v>
      </c>
      <c r="E51">
        <v>195.317521</v>
      </c>
      <c r="F51">
        <v>6167.250102</v>
      </c>
      <c r="G51">
        <v>7892.3951989999996</v>
      </c>
      <c r="H51">
        <v>575.08337400000005</v>
      </c>
      <c r="I51">
        <v>672.84094200000004</v>
      </c>
      <c r="J51">
        <v>684</v>
      </c>
      <c r="K51">
        <v>53.916806999999999</v>
      </c>
      <c r="L51">
        <v>366.11233600000003</v>
      </c>
      <c r="M51">
        <v>535.25774000000001</v>
      </c>
      <c r="N51">
        <v>620.27483800000005</v>
      </c>
      <c r="O51">
        <v>7.9204999999999998E-2</v>
      </c>
      <c r="P51">
        <v>133953.23950900001</v>
      </c>
      <c r="Q51">
        <v>39685.768256000003</v>
      </c>
    </row>
    <row r="52" spans="1:17" x14ac:dyDescent="0.3">
      <c r="A52" s="2">
        <v>46221.375</v>
      </c>
      <c r="B52">
        <v>1587.473653</v>
      </c>
      <c r="C52">
        <v>89.335736999999995</v>
      </c>
      <c r="D52">
        <v>7210.506429</v>
      </c>
      <c r="E52">
        <v>196.98049</v>
      </c>
      <c r="F52">
        <v>5623.032776</v>
      </c>
      <c r="G52">
        <v>7378.445127</v>
      </c>
      <c r="H52">
        <v>615.04278599999998</v>
      </c>
      <c r="I52">
        <v>610.37353499999995</v>
      </c>
      <c r="J52">
        <v>684</v>
      </c>
      <c r="K52">
        <v>49.809483</v>
      </c>
      <c r="L52">
        <v>406.18580800000001</v>
      </c>
      <c r="M52">
        <v>593.84083099999998</v>
      </c>
      <c r="N52">
        <v>640.02333799999997</v>
      </c>
      <c r="O52">
        <v>7.9611000000000001E-2</v>
      </c>
      <c r="P52">
        <v>134547.08033900001</v>
      </c>
      <c r="Q52">
        <v>40325.791595000002</v>
      </c>
    </row>
    <row r="53" spans="1:17" x14ac:dyDescent="0.3">
      <c r="A53" s="2">
        <v>46222.375</v>
      </c>
      <c r="B53">
        <v>1659.741618</v>
      </c>
      <c r="C53">
        <v>89.170044000000004</v>
      </c>
      <c r="D53">
        <v>6978.8982749999996</v>
      </c>
      <c r="E53">
        <v>198.11277799999999</v>
      </c>
      <c r="F53">
        <v>5319.1566570000005</v>
      </c>
      <c r="G53">
        <v>7144.6377430000002</v>
      </c>
      <c r="H53">
        <v>647.44976799999995</v>
      </c>
      <c r="I53">
        <v>545.43884300000002</v>
      </c>
      <c r="J53">
        <v>684</v>
      </c>
      <c r="K53">
        <v>45.724206000000002</v>
      </c>
      <c r="L53">
        <v>432.22314599999999</v>
      </c>
      <c r="M53">
        <v>631.90284599999995</v>
      </c>
      <c r="N53">
        <v>578.29690500000004</v>
      </c>
      <c r="O53">
        <v>8.0043000000000003E-2</v>
      </c>
      <c r="P53">
        <v>135178.98318499999</v>
      </c>
      <c r="Q53">
        <v>40904.088499999998</v>
      </c>
    </row>
    <row r="54" spans="1:17" x14ac:dyDescent="0.3">
      <c r="A54" s="2">
        <v>46223.375</v>
      </c>
      <c r="B54">
        <v>1712.2821449999999</v>
      </c>
      <c r="C54">
        <v>89.178825000000003</v>
      </c>
      <c r="D54">
        <v>6836.2984210000004</v>
      </c>
      <c r="E54">
        <v>198.83479299999999</v>
      </c>
      <c r="F54">
        <v>5124.0162760000003</v>
      </c>
      <c r="G54">
        <v>7000.1997430000001</v>
      </c>
      <c r="H54">
        <v>675.34789999999998</v>
      </c>
      <c r="I54">
        <v>492.47357199999999</v>
      </c>
      <c r="J54">
        <v>684</v>
      </c>
      <c r="K54">
        <v>42.170279000000001</v>
      </c>
      <c r="L54">
        <v>456.84779900000001</v>
      </c>
      <c r="M54">
        <v>667.90853000000004</v>
      </c>
      <c r="N54">
        <v>518.49485300000003</v>
      </c>
      <c r="O54">
        <v>8.0500000000000002E-2</v>
      </c>
      <c r="P54">
        <v>135846.89171500001</v>
      </c>
      <c r="Q54">
        <v>41422.583352000001</v>
      </c>
    </row>
    <row r="55" spans="1:17" x14ac:dyDescent="0.3">
      <c r="A55" s="2">
        <v>46224.375</v>
      </c>
      <c r="B55">
        <v>1720.8861899999999</v>
      </c>
      <c r="C55">
        <v>90.062932000000004</v>
      </c>
      <c r="D55">
        <v>6819.6196289999998</v>
      </c>
      <c r="E55">
        <v>198.94855000000001</v>
      </c>
      <c r="F55">
        <v>5098.7334389999996</v>
      </c>
      <c r="G55">
        <v>6982.3735660000002</v>
      </c>
      <c r="H55">
        <v>697.20593299999996</v>
      </c>
      <c r="I55">
        <v>460.25015300000001</v>
      </c>
      <c r="J55">
        <v>684</v>
      </c>
      <c r="K55">
        <v>39.763941000000003</v>
      </c>
      <c r="L55">
        <v>470.92031100000003</v>
      </c>
      <c r="M55">
        <v>688.47584800000004</v>
      </c>
      <c r="N55">
        <v>475.33923399999998</v>
      </c>
      <c r="O55">
        <v>8.0971000000000001E-2</v>
      </c>
      <c r="P55">
        <v>136535.36756300001</v>
      </c>
      <c r="Q55">
        <v>41897.922586000001</v>
      </c>
    </row>
    <row r="56" spans="1:17" x14ac:dyDescent="0.3">
      <c r="A56" s="2">
        <v>46225.375</v>
      </c>
      <c r="B56">
        <v>1785.1716719999999</v>
      </c>
      <c r="C56">
        <v>90.448786999999996</v>
      </c>
      <c r="D56">
        <v>6844.4799800000001</v>
      </c>
      <c r="E56">
        <v>198.99575400000001</v>
      </c>
      <c r="F56">
        <v>5059.3083079999997</v>
      </c>
      <c r="G56">
        <v>7005.5630659999997</v>
      </c>
      <c r="H56">
        <v>722.35809300000005</v>
      </c>
      <c r="I56">
        <v>408.42123400000003</v>
      </c>
      <c r="J56">
        <v>684</v>
      </c>
      <c r="K56">
        <v>36.118561999999997</v>
      </c>
      <c r="L56">
        <v>483.64579900000001</v>
      </c>
      <c r="M56">
        <v>707.08325400000001</v>
      </c>
      <c r="N56">
        <v>437.10979300000002</v>
      </c>
      <c r="O56">
        <v>8.1453999999999999E-2</v>
      </c>
      <c r="P56">
        <v>137242.450817</v>
      </c>
      <c r="Q56">
        <v>42335.032378999997</v>
      </c>
    </row>
    <row r="57" spans="1:17" x14ac:dyDescent="0.3">
      <c r="A57" s="2">
        <v>46226.375</v>
      </c>
      <c r="B57">
        <v>1763.57961</v>
      </c>
      <c r="C57">
        <v>90.289873999999998</v>
      </c>
      <c r="D57">
        <v>6796.3496089999999</v>
      </c>
      <c r="E57">
        <v>199.11813100000001</v>
      </c>
      <c r="F57">
        <v>5032.7699990000001</v>
      </c>
      <c r="G57">
        <v>6956.4341949999998</v>
      </c>
      <c r="H57">
        <v>745.60443099999998</v>
      </c>
      <c r="I57">
        <v>384.21167000000003</v>
      </c>
      <c r="J57">
        <v>684</v>
      </c>
      <c r="K57">
        <v>34.006566999999997</v>
      </c>
      <c r="L57">
        <v>502.07816000000003</v>
      </c>
      <c r="M57">
        <v>734.03360299999997</v>
      </c>
      <c r="N57">
        <v>397.12419399999999</v>
      </c>
      <c r="O57">
        <v>8.1956000000000001E-2</v>
      </c>
      <c r="P57">
        <v>137976.48441999999</v>
      </c>
      <c r="Q57">
        <v>42732.156573</v>
      </c>
    </row>
    <row r="58" spans="1:17" x14ac:dyDescent="0.3">
      <c r="A58" s="2">
        <v>46227.375</v>
      </c>
      <c r="B58">
        <v>1778.906982</v>
      </c>
      <c r="C58">
        <v>92.310134000000005</v>
      </c>
      <c r="D58">
        <v>6805.2577309999997</v>
      </c>
      <c r="E58">
        <v>199.14168599999999</v>
      </c>
      <c r="F58">
        <v>5026.3507490000002</v>
      </c>
      <c r="G58">
        <v>6965.2756609999997</v>
      </c>
      <c r="H58">
        <v>742.55023200000005</v>
      </c>
      <c r="I58">
        <v>380.05130000000003</v>
      </c>
      <c r="J58">
        <v>684</v>
      </c>
      <c r="K58">
        <v>33.854514999999999</v>
      </c>
      <c r="L58">
        <v>511.08650399999999</v>
      </c>
      <c r="M58">
        <v>747.20643500000006</v>
      </c>
      <c r="N58">
        <v>379.36662100000001</v>
      </c>
      <c r="O58">
        <v>8.2468E-2</v>
      </c>
      <c r="P58">
        <v>138723.69085499999</v>
      </c>
      <c r="Q58">
        <v>43111.523194000001</v>
      </c>
    </row>
    <row r="59" spans="1:17" x14ac:dyDescent="0.3">
      <c r="A59" s="2">
        <v>46228.375</v>
      </c>
      <c r="B59">
        <v>1789.7193400000001</v>
      </c>
      <c r="C59">
        <v>92.458421999999999</v>
      </c>
      <c r="D59">
        <v>6808.5782879999997</v>
      </c>
      <c r="E59">
        <v>199.18699100000001</v>
      </c>
      <c r="F59">
        <v>5018.8589480000001</v>
      </c>
      <c r="G59">
        <v>6968.0689540000003</v>
      </c>
      <c r="H59">
        <v>748.57244900000001</v>
      </c>
      <c r="I59">
        <v>363.51281699999998</v>
      </c>
      <c r="J59">
        <v>684</v>
      </c>
      <c r="K59">
        <v>32.687494999999998</v>
      </c>
      <c r="L59">
        <v>508.96072800000002</v>
      </c>
      <c r="M59">
        <v>744.09431099999995</v>
      </c>
      <c r="N59">
        <v>374.87696</v>
      </c>
      <c r="O59">
        <v>8.2976999999999995E-2</v>
      </c>
      <c r="P59">
        <v>139467.78516500001</v>
      </c>
      <c r="Q59">
        <v>43486.400154000003</v>
      </c>
    </row>
    <row r="60" spans="1:17" x14ac:dyDescent="0.3">
      <c r="A60" s="2">
        <v>46229.375</v>
      </c>
      <c r="B60">
        <v>1802.54366</v>
      </c>
      <c r="C60">
        <v>91.719626000000005</v>
      </c>
      <c r="D60">
        <v>6809.358236</v>
      </c>
      <c r="E60">
        <v>199.16961699999999</v>
      </c>
      <c r="F60">
        <v>5006.8145759999998</v>
      </c>
      <c r="G60">
        <v>6968.36996</v>
      </c>
      <c r="H60">
        <v>754.24438499999997</v>
      </c>
      <c r="I60">
        <v>348.777466</v>
      </c>
      <c r="J60">
        <v>684</v>
      </c>
      <c r="K60">
        <v>31.620177000000002</v>
      </c>
      <c r="L60">
        <v>510.74110899999999</v>
      </c>
      <c r="M60">
        <v>746.69755199999997</v>
      </c>
      <c r="N60">
        <v>363.18191300000001</v>
      </c>
      <c r="O60">
        <v>8.3487000000000006E-2</v>
      </c>
      <c r="P60">
        <v>140214.48271700001</v>
      </c>
      <c r="Q60">
        <v>43849.582067000003</v>
      </c>
    </row>
    <row r="61" spans="1:17" x14ac:dyDescent="0.3">
      <c r="A61" s="2">
        <v>46230.375</v>
      </c>
      <c r="B61">
        <v>1846.1202390000001</v>
      </c>
      <c r="C61">
        <v>90.028166999999996</v>
      </c>
      <c r="D61">
        <v>6902.9231769999997</v>
      </c>
      <c r="E61">
        <v>198.26059000000001</v>
      </c>
      <c r="F61">
        <v>5056.8029379999998</v>
      </c>
      <c r="G61">
        <v>7063.3467879999998</v>
      </c>
      <c r="H61">
        <v>707.60339399999998</v>
      </c>
      <c r="I61">
        <v>374.01693699999998</v>
      </c>
      <c r="J61">
        <v>684</v>
      </c>
      <c r="K61">
        <v>34.579318000000001</v>
      </c>
      <c r="L61">
        <v>313.99407100000002</v>
      </c>
      <c r="M61">
        <v>458.50037500000002</v>
      </c>
      <c r="N61">
        <v>357.16692999999998</v>
      </c>
      <c r="O61">
        <v>8.3801E-2</v>
      </c>
      <c r="P61">
        <v>140672.98309200001</v>
      </c>
      <c r="Q61">
        <v>44206.748997000002</v>
      </c>
    </row>
    <row r="62" spans="1:17" x14ac:dyDescent="0.3">
      <c r="A62" s="2">
        <v>46231.375</v>
      </c>
      <c r="B62">
        <v>1855.345947</v>
      </c>
      <c r="C62">
        <v>90.870855000000006</v>
      </c>
      <c r="D62">
        <v>6788.604574</v>
      </c>
      <c r="E62">
        <v>199.218197</v>
      </c>
      <c r="F62">
        <v>4933.2586270000002</v>
      </c>
      <c r="G62">
        <v>6946.4839840000004</v>
      </c>
      <c r="H62">
        <v>758.85296600000004</v>
      </c>
      <c r="I62">
        <v>312.14413500000001</v>
      </c>
      <c r="J62">
        <v>684</v>
      </c>
      <c r="K62">
        <v>29.145188999999998</v>
      </c>
      <c r="L62">
        <v>428.26750800000002</v>
      </c>
      <c r="M62">
        <v>626.08176600000002</v>
      </c>
      <c r="N62">
        <v>337.482508</v>
      </c>
      <c r="O62">
        <v>8.4228999999999998E-2</v>
      </c>
      <c r="P62">
        <v>141299.064858</v>
      </c>
      <c r="Q62">
        <v>44544.231505000003</v>
      </c>
    </row>
    <row r="63" spans="1:17" x14ac:dyDescent="0.3">
      <c r="A63" s="2">
        <v>46232.375</v>
      </c>
      <c r="B63">
        <v>1855.0187989999999</v>
      </c>
      <c r="C63">
        <v>91.139150000000001</v>
      </c>
      <c r="D63">
        <v>6765.7522520000002</v>
      </c>
      <c r="E63">
        <v>199.30278000000001</v>
      </c>
      <c r="F63">
        <v>4910.7334529999998</v>
      </c>
      <c r="G63">
        <v>6922.7570070000002</v>
      </c>
      <c r="H63">
        <v>776.52014199999996</v>
      </c>
      <c r="I63">
        <v>289.99728399999998</v>
      </c>
      <c r="J63">
        <v>684</v>
      </c>
      <c r="K63">
        <v>27.191050000000001</v>
      </c>
      <c r="L63">
        <v>519.922325</v>
      </c>
      <c r="M63">
        <v>760.12467300000003</v>
      </c>
      <c r="N63">
        <v>311.55301900000001</v>
      </c>
      <c r="O63">
        <v>8.4749000000000005E-2</v>
      </c>
      <c r="P63">
        <v>142059.18953100001</v>
      </c>
      <c r="Q63">
        <v>44855.784524000002</v>
      </c>
    </row>
    <row r="64" spans="1:17" x14ac:dyDescent="0.3">
      <c r="A64" s="2">
        <v>46233.375</v>
      </c>
      <c r="B64">
        <v>1927.286865</v>
      </c>
      <c r="C64">
        <v>92.349144999999993</v>
      </c>
      <c r="D64">
        <v>6816.4746910000003</v>
      </c>
      <c r="E64">
        <v>199.12460300000001</v>
      </c>
      <c r="F64">
        <v>4889.1878260000003</v>
      </c>
      <c r="G64">
        <v>6972.8876840000003</v>
      </c>
      <c r="H64">
        <v>770.229919</v>
      </c>
      <c r="I64">
        <v>266.96649200000002</v>
      </c>
      <c r="J64">
        <v>684</v>
      </c>
      <c r="K64">
        <v>25.739242000000001</v>
      </c>
      <c r="L64">
        <v>471.02484700000002</v>
      </c>
      <c r="M64">
        <v>688.64734199999998</v>
      </c>
      <c r="N64">
        <v>291.83369800000003</v>
      </c>
      <c r="O64">
        <v>8.5220000000000004E-2</v>
      </c>
      <c r="P64">
        <v>142747.83687299999</v>
      </c>
      <c r="Q64">
        <v>45147.618221999997</v>
      </c>
    </row>
    <row r="65" spans="1:17" x14ac:dyDescent="0.3">
      <c r="A65" s="2">
        <v>46234.375</v>
      </c>
      <c r="B65">
        <v>1904.3861079999999</v>
      </c>
      <c r="C65">
        <v>91.619245000000006</v>
      </c>
      <c r="D65">
        <v>6797.3668619999999</v>
      </c>
      <c r="E65">
        <v>199.16282699999999</v>
      </c>
      <c r="F65">
        <v>4892.9807540000002</v>
      </c>
      <c r="G65">
        <v>6954.0258229999999</v>
      </c>
      <c r="H65">
        <v>765.72869900000001</v>
      </c>
      <c r="I65">
        <v>274.03295900000001</v>
      </c>
      <c r="J65">
        <v>684</v>
      </c>
      <c r="K65">
        <v>26.355363000000001</v>
      </c>
      <c r="L65">
        <v>516.51480500000002</v>
      </c>
      <c r="M65">
        <v>755.13540899999998</v>
      </c>
      <c r="N65">
        <v>288.56905399999999</v>
      </c>
      <c r="O65">
        <v>8.5736999999999994E-2</v>
      </c>
      <c r="P65">
        <v>143502.972282</v>
      </c>
      <c r="Q65">
        <v>45436.187275999997</v>
      </c>
    </row>
    <row r="66" spans="1:17" x14ac:dyDescent="0.3">
      <c r="A66" s="2">
        <v>46235.375</v>
      </c>
      <c r="B66">
        <v>1892.739339</v>
      </c>
      <c r="C66">
        <v>91.561203000000006</v>
      </c>
      <c r="D66">
        <v>6792.5232749999996</v>
      </c>
      <c r="E66">
        <v>199.218504</v>
      </c>
      <c r="F66">
        <v>4899.7839359999998</v>
      </c>
      <c r="G66">
        <v>6949.4007519999996</v>
      </c>
      <c r="H66">
        <v>759.39788799999997</v>
      </c>
      <c r="I66">
        <v>279.18646200000001</v>
      </c>
      <c r="J66">
        <v>684</v>
      </c>
      <c r="K66">
        <v>26.881443000000001</v>
      </c>
      <c r="L66">
        <v>517.71324800000002</v>
      </c>
      <c r="M66">
        <v>756.89399100000003</v>
      </c>
      <c r="N66">
        <v>284.65161499999999</v>
      </c>
      <c r="O66">
        <v>8.6254999999999998E-2</v>
      </c>
      <c r="P66">
        <v>144259.866274</v>
      </c>
      <c r="Q66">
        <v>45720.838890999999</v>
      </c>
    </row>
    <row r="67" spans="1:17" x14ac:dyDescent="0.3">
      <c r="A67" s="2">
        <v>46236.375</v>
      </c>
      <c r="B67">
        <v>1902.063375</v>
      </c>
      <c r="C67">
        <v>91.603166999999999</v>
      </c>
      <c r="D67">
        <v>6796.2729490000002</v>
      </c>
      <c r="E67">
        <v>199.22298699999999</v>
      </c>
      <c r="F67">
        <v>4894.2095740000004</v>
      </c>
      <c r="G67">
        <v>6952.9027020000003</v>
      </c>
      <c r="H67">
        <v>759.77502400000003</v>
      </c>
      <c r="I67">
        <v>271.270782</v>
      </c>
      <c r="J67">
        <v>684</v>
      </c>
      <c r="K67">
        <v>26.310255000000002</v>
      </c>
      <c r="L67">
        <v>515.72940800000003</v>
      </c>
      <c r="M67">
        <v>753.98746900000003</v>
      </c>
      <c r="N67">
        <v>283.31021500000003</v>
      </c>
      <c r="O67">
        <v>8.677E-2</v>
      </c>
      <c r="P67">
        <v>145013.85374300001</v>
      </c>
      <c r="Q67">
        <v>46004.149105999997</v>
      </c>
    </row>
    <row r="68" spans="1:17" x14ac:dyDescent="0.3">
      <c r="A68" s="2">
        <v>46237.375</v>
      </c>
      <c r="B68">
        <v>1901.3108319999999</v>
      </c>
      <c r="C68">
        <v>92.316922000000005</v>
      </c>
      <c r="D68">
        <v>6783.4462890000004</v>
      </c>
      <c r="E68">
        <v>199.244596</v>
      </c>
      <c r="F68">
        <v>4882.1354570000003</v>
      </c>
      <c r="G68">
        <v>6939.7157779999998</v>
      </c>
      <c r="H68">
        <v>766.09906000000001</v>
      </c>
      <c r="I68">
        <v>262.270691</v>
      </c>
      <c r="J68">
        <v>684</v>
      </c>
      <c r="K68">
        <v>25.503540000000001</v>
      </c>
      <c r="L68">
        <v>515.79818399999999</v>
      </c>
      <c r="M68">
        <v>754.09463200000005</v>
      </c>
      <c r="N68">
        <v>278.12258600000001</v>
      </c>
      <c r="O68">
        <v>8.7286000000000002E-2</v>
      </c>
      <c r="P68">
        <v>145767.94837500001</v>
      </c>
      <c r="Q68">
        <v>46282.271692000002</v>
      </c>
    </row>
    <row r="69" spans="1:17" x14ac:dyDescent="0.3">
      <c r="A69" s="2">
        <v>46238.375</v>
      </c>
      <c r="B69">
        <v>1882.139608</v>
      </c>
      <c r="C69">
        <v>92.548265999999998</v>
      </c>
      <c r="D69">
        <v>6768.1300460000002</v>
      </c>
      <c r="E69">
        <v>199.23100099999999</v>
      </c>
      <c r="F69">
        <v>4885.9904379999998</v>
      </c>
      <c r="G69">
        <v>6924.5805659999996</v>
      </c>
      <c r="H69">
        <v>761.40606700000001</v>
      </c>
      <c r="I69">
        <v>266.97625699999998</v>
      </c>
      <c r="J69">
        <v>684</v>
      </c>
      <c r="K69">
        <v>25.960798</v>
      </c>
      <c r="L69">
        <v>514.16616299999998</v>
      </c>
      <c r="M69">
        <v>751.70522300000005</v>
      </c>
      <c r="N69">
        <v>279.62298500000003</v>
      </c>
      <c r="O69">
        <v>8.7800000000000003E-2</v>
      </c>
      <c r="P69">
        <v>146519.653598</v>
      </c>
      <c r="Q69">
        <v>46561.894677999997</v>
      </c>
    </row>
    <row r="70" spans="1:17" x14ac:dyDescent="0.3">
      <c r="A70" s="2">
        <v>46239.375</v>
      </c>
      <c r="B70">
        <v>1868.5955670000001</v>
      </c>
      <c r="C70">
        <v>92.939670000000007</v>
      </c>
      <c r="D70">
        <v>6741.283203</v>
      </c>
      <c r="E70">
        <v>199.33017699999999</v>
      </c>
      <c r="F70">
        <v>4872.6876359999997</v>
      </c>
      <c r="G70">
        <v>6897.3082590000004</v>
      </c>
      <c r="H70">
        <v>770.959656</v>
      </c>
      <c r="I70">
        <v>257.43838499999998</v>
      </c>
      <c r="J70">
        <v>684</v>
      </c>
      <c r="K70">
        <v>25.032952000000002</v>
      </c>
      <c r="L70">
        <v>523.16354100000001</v>
      </c>
      <c r="M70">
        <v>764.861088</v>
      </c>
      <c r="N70">
        <v>268.39166499999999</v>
      </c>
      <c r="O70">
        <v>8.8322999999999999E-2</v>
      </c>
      <c r="P70">
        <v>147284.51468600001</v>
      </c>
      <c r="Q70">
        <v>46830.286343</v>
      </c>
    </row>
    <row r="71" spans="1:17" x14ac:dyDescent="0.3">
      <c r="A71" s="2">
        <v>46240.375</v>
      </c>
      <c r="B71">
        <v>1886.261882</v>
      </c>
      <c r="C71">
        <v>93.759862999999996</v>
      </c>
      <c r="D71">
        <v>6749.579753</v>
      </c>
      <c r="E71">
        <v>199.343895</v>
      </c>
      <c r="F71">
        <v>4863.3178710000002</v>
      </c>
      <c r="G71">
        <v>6905.2508330000001</v>
      </c>
      <c r="H71">
        <v>772.60205099999996</v>
      </c>
      <c r="I71">
        <v>246.647186</v>
      </c>
      <c r="J71">
        <v>684</v>
      </c>
      <c r="K71">
        <v>24.198907999999999</v>
      </c>
      <c r="L71">
        <v>522.63286600000004</v>
      </c>
      <c r="M71">
        <v>764.08224399999995</v>
      </c>
      <c r="N71">
        <v>264.71288600000003</v>
      </c>
      <c r="O71">
        <v>8.8845999999999994E-2</v>
      </c>
      <c r="P71">
        <v>148048.59692899999</v>
      </c>
      <c r="Q71">
        <v>47094.999229000001</v>
      </c>
    </row>
    <row r="72" spans="1:17" x14ac:dyDescent="0.3">
      <c r="A72" s="2">
        <v>46241.375</v>
      </c>
      <c r="B72">
        <v>1871.5073239999999</v>
      </c>
      <c r="C72">
        <v>92.433105999999995</v>
      </c>
      <c r="D72">
        <v>6763.5898440000001</v>
      </c>
      <c r="E72">
        <v>199.259298</v>
      </c>
      <c r="F72">
        <v>4892.0825199999999</v>
      </c>
      <c r="G72">
        <v>6920.3621919999996</v>
      </c>
      <c r="H72">
        <v>746.86932400000001</v>
      </c>
      <c r="I72">
        <v>272.60162400000002</v>
      </c>
      <c r="J72">
        <v>684</v>
      </c>
      <c r="K72">
        <v>26.739519000000001</v>
      </c>
      <c r="L72">
        <v>513.43321400000002</v>
      </c>
      <c r="M72">
        <v>750.63252899999998</v>
      </c>
      <c r="N72">
        <v>271.51180599999998</v>
      </c>
      <c r="O72">
        <v>8.9359999999999995E-2</v>
      </c>
      <c r="P72">
        <v>148799.22945799999</v>
      </c>
      <c r="Q72">
        <v>47366.511035000003</v>
      </c>
    </row>
    <row r="73" spans="1:17" x14ac:dyDescent="0.3">
      <c r="A73" s="2">
        <v>46242.375</v>
      </c>
      <c r="B73">
        <v>1856.883789</v>
      </c>
      <c r="C73">
        <v>93.714412999999993</v>
      </c>
      <c r="D73">
        <v>6738.2281899999998</v>
      </c>
      <c r="E73">
        <v>199.34781000000001</v>
      </c>
      <c r="F73">
        <v>4881.3444010000003</v>
      </c>
      <c r="G73">
        <v>6895.6981180000002</v>
      </c>
      <c r="H73">
        <v>730.13098100000002</v>
      </c>
      <c r="I73">
        <v>289.82193000000001</v>
      </c>
      <c r="J73">
        <v>684</v>
      </c>
      <c r="K73">
        <v>28.415226000000001</v>
      </c>
      <c r="L73">
        <v>505.12774300000001</v>
      </c>
      <c r="M73">
        <v>738.88928899999996</v>
      </c>
      <c r="N73">
        <v>277.41321299999998</v>
      </c>
      <c r="O73">
        <v>8.9865E-2</v>
      </c>
      <c r="P73">
        <v>149538.118747</v>
      </c>
      <c r="Q73">
        <v>47643.924247000003</v>
      </c>
    </row>
    <row r="74" spans="1:17" x14ac:dyDescent="0.3">
      <c r="A74" s="2">
        <v>46243.375</v>
      </c>
      <c r="B74">
        <v>1888.3882450000001</v>
      </c>
      <c r="C74">
        <v>94.403278</v>
      </c>
      <c r="D74">
        <v>6740.969889</v>
      </c>
      <c r="E74">
        <v>199.31658899999999</v>
      </c>
      <c r="F74">
        <v>4852.5816439999999</v>
      </c>
      <c r="G74">
        <v>6897.3405270000003</v>
      </c>
      <c r="H74">
        <v>746.36938499999997</v>
      </c>
      <c r="I74">
        <v>260.61904900000002</v>
      </c>
      <c r="J74">
        <v>684</v>
      </c>
      <c r="K74">
        <v>25.881036999999999</v>
      </c>
      <c r="L74">
        <v>502.55867499999999</v>
      </c>
      <c r="M74">
        <v>734.73364800000002</v>
      </c>
      <c r="N74">
        <v>279.32885900000002</v>
      </c>
      <c r="O74">
        <v>9.0367000000000003E-2</v>
      </c>
      <c r="P74">
        <v>150272.852396</v>
      </c>
      <c r="Q74">
        <v>47923.253105999996</v>
      </c>
    </row>
    <row r="75" spans="1:17" x14ac:dyDescent="0.3">
      <c r="A75" s="2">
        <v>46244.375</v>
      </c>
      <c r="B75">
        <v>1872.97937</v>
      </c>
      <c r="C75">
        <v>93.677346999999997</v>
      </c>
      <c r="D75">
        <v>6735.7263999999996</v>
      </c>
      <c r="E75">
        <v>199.32669200000001</v>
      </c>
      <c r="F75">
        <v>4862.7470300000004</v>
      </c>
      <c r="G75">
        <v>6892.4067880000002</v>
      </c>
      <c r="H75">
        <v>737.96636999999998</v>
      </c>
      <c r="I75">
        <v>267.68273900000003</v>
      </c>
      <c r="J75">
        <v>684</v>
      </c>
      <c r="K75">
        <v>26.617906000000001</v>
      </c>
      <c r="L75">
        <v>501.58532000000002</v>
      </c>
      <c r="M75">
        <v>733.31661099999997</v>
      </c>
      <c r="N75">
        <v>276.649157</v>
      </c>
      <c r="O75">
        <v>9.0869000000000005E-2</v>
      </c>
      <c r="P75">
        <v>151006.16900699999</v>
      </c>
      <c r="Q75">
        <v>48199.902263999997</v>
      </c>
    </row>
    <row r="76" spans="1:17" x14ac:dyDescent="0.3">
      <c r="A76" s="2">
        <v>46245.375</v>
      </c>
      <c r="B76">
        <v>1866.501892</v>
      </c>
      <c r="C76">
        <v>93.530403000000007</v>
      </c>
      <c r="D76">
        <v>6727.2895509999998</v>
      </c>
      <c r="E76">
        <v>199.34859399999999</v>
      </c>
      <c r="F76">
        <v>4860.7876589999996</v>
      </c>
      <c r="G76">
        <v>6883.9027669999996</v>
      </c>
      <c r="H76">
        <v>737.60632299999997</v>
      </c>
      <c r="I76">
        <v>265.75271600000002</v>
      </c>
      <c r="J76">
        <v>684</v>
      </c>
      <c r="K76">
        <v>26.486302999999999</v>
      </c>
      <c r="L76">
        <v>501.58297900000002</v>
      </c>
      <c r="M76">
        <v>733.308267</v>
      </c>
      <c r="N76">
        <v>272.35391399999997</v>
      </c>
      <c r="O76">
        <v>9.1370999999999994E-2</v>
      </c>
      <c r="P76">
        <v>151739.477274</v>
      </c>
      <c r="Q76">
        <v>48472.256178000003</v>
      </c>
    </row>
    <row r="77" spans="1:17" x14ac:dyDescent="0.3">
      <c r="A77" s="2">
        <v>46246.375</v>
      </c>
      <c r="B77">
        <v>1873.862854</v>
      </c>
      <c r="C77">
        <v>92.901968999999994</v>
      </c>
      <c r="D77">
        <v>6743.8222660000001</v>
      </c>
      <c r="E77">
        <v>199.31588600000001</v>
      </c>
      <c r="F77">
        <v>4869.9594120000002</v>
      </c>
      <c r="G77">
        <v>6900.6432679999998</v>
      </c>
      <c r="H77">
        <v>726.26330600000006</v>
      </c>
      <c r="I77">
        <v>267.883331</v>
      </c>
      <c r="J77">
        <v>684</v>
      </c>
      <c r="K77">
        <v>26.946058000000001</v>
      </c>
      <c r="L77">
        <v>493.81013999999999</v>
      </c>
      <c r="M77">
        <v>721.94483400000001</v>
      </c>
      <c r="N77">
        <v>276.81911700000001</v>
      </c>
      <c r="O77">
        <v>9.1864000000000001E-2</v>
      </c>
      <c r="P77">
        <v>152461.42210699999</v>
      </c>
      <c r="Q77">
        <v>48749.075295000002</v>
      </c>
    </row>
    <row r="78" spans="1:17" x14ac:dyDescent="0.3">
      <c r="A78" s="2">
        <v>46247.375</v>
      </c>
      <c r="B78">
        <v>1851.289246</v>
      </c>
      <c r="C78">
        <v>92.387500000000003</v>
      </c>
      <c r="D78">
        <v>6701.0366210000002</v>
      </c>
      <c r="E78">
        <v>199.39140800000001</v>
      </c>
      <c r="F78">
        <v>4849.7473749999999</v>
      </c>
      <c r="G78">
        <v>6857.1644269999997</v>
      </c>
      <c r="H78">
        <v>744.13476600000001</v>
      </c>
      <c r="I78">
        <v>253.71473700000001</v>
      </c>
      <c r="J78">
        <v>684</v>
      </c>
      <c r="K78">
        <v>25.426152999999999</v>
      </c>
      <c r="L78">
        <v>500.056601</v>
      </c>
      <c r="M78">
        <v>731.07741199999998</v>
      </c>
      <c r="N78">
        <v>268.05589400000002</v>
      </c>
      <c r="O78">
        <v>9.2364000000000002E-2</v>
      </c>
      <c r="P78">
        <v>153192.499519</v>
      </c>
      <c r="Q78">
        <v>49017.131189</v>
      </c>
    </row>
    <row r="79" spans="1:17" x14ac:dyDescent="0.3">
      <c r="A79" s="2">
        <v>46248.375</v>
      </c>
      <c r="B79">
        <v>1845.695068</v>
      </c>
      <c r="C79">
        <v>93.536473000000001</v>
      </c>
      <c r="D79">
        <v>6699.3898929999996</v>
      </c>
      <c r="E79">
        <v>199.444804</v>
      </c>
      <c r="F79">
        <v>4853.6948249999996</v>
      </c>
      <c r="G79">
        <v>6855.849115</v>
      </c>
      <c r="H79">
        <v>735.99902299999997</v>
      </c>
      <c r="I79">
        <v>261.40310699999998</v>
      </c>
      <c r="J79">
        <v>684</v>
      </c>
      <c r="K79">
        <v>26.208397000000001</v>
      </c>
      <c r="L79">
        <v>503.53384199999999</v>
      </c>
      <c r="M79">
        <v>736.15730099999996</v>
      </c>
      <c r="N79">
        <v>262.92341299999998</v>
      </c>
      <c r="O79">
        <v>9.2868000000000006E-2</v>
      </c>
      <c r="P79">
        <v>153928.65682</v>
      </c>
      <c r="Q79">
        <v>49280.054601999997</v>
      </c>
    </row>
    <row r="80" spans="1:17" x14ac:dyDescent="0.3">
      <c r="A80" s="2">
        <v>46249.375</v>
      </c>
      <c r="B80">
        <v>1849.522766</v>
      </c>
      <c r="C80">
        <v>93.608970999999997</v>
      </c>
      <c r="D80">
        <v>6703.2270509999998</v>
      </c>
      <c r="E80">
        <v>199.424601</v>
      </c>
      <c r="F80">
        <v>4853.7042849999998</v>
      </c>
      <c r="G80">
        <v>6859.6889920000003</v>
      </c>
      <c r="H80">
        <v>730.40808100000004</v>
      </c>
      <c r="I80">
        <v>259.54293799999999</v>
      </c>
      <c r="J80">
        <v>684</v>
      </c>
      <c r="K80">
        <v>26.217756000000001</v>
      </c>
      <c r="L80">
        <v>498.11911300000003</v>
      </c>
      <c r="M80">
        <v>728.23954800000001</v>
      </c>
      <c r="N80">
        <v>268.416898</v>
      </c>
      <c r="O80">
        <v>9.3366000000000005E-2</v>
      </c>
      <c r="P80">
        <v>154656.89636799999</v>
      </c>
      <c r="Q80">
        <v>49548.4715</v>
      </c>
    </row>
    <row r="81" spans="1:17" x14ac:dyDescent="0.3">
      <c r="A81" s="2">
        <v>46250.375</v>
      </c>
      <c r="B81">
        <v>1848.4429929999999</v>
      </c>
      <c r="C81">
        <v>94.342468999999994</v>
      </c>
      <c r="D81">
        <v>6696.9897460000002</v>
      </c>
      <c r="E81">
        <v>199.40239500000001</v>
      </c>
      <c r="F81">
        <v>4848.5467529999996</v>
      </c>
      <c r="G81">
        <v>6853.2693900000004</v>
      </c>
      <c r="H81">
        <v>732.09356700000001</v>
      </c>
      <c r="I81">
        <v>254.69792200000001</v>
      </c>
      <c r="J81">
        <v>684</v>
      </c>
      <c r="K81">
        <v>25.810713</v>
      </c>
      <c r="L81">
        <v>495.61133100000001</v>
      </c>
      <c r="M81">
        <v>724.57850800000006</v>
      </c>
      <c r="N81">
        <v>266.84116899999998</v>
      </c>
      <c r="O81">
        <v>9.3862000000000001E-2</v>
      </c>
      <c r="P81">
        <v>155381.47487599999</v>
      </c>
      <c r="Q81">
        <v>49815.312668999999</v>
      </c>
    </row>
    <row r="82" spans="1:17" x14ac:dyDescent="0.3">
      <c r="A82" s="2">
        <v>46251.375</v>
      </c>
      <c r="B82">
        <v>1847.167023</v>
      </c>
      <c r="C82">
        <v>93.127707000000001</v>
      </c>
      <c r="D82">
        <v>6698.7120359999999</v>
      </c>
      <c r="E82">
        <v>199.42168000000001</v>
      </c>
      <c r="F82">
        <v>4851.5450129999999</v>
      </c>
      <c r="G82">
        <v>6854.959683</v>
      </c>
      <c r="H82">
        <v>727.90704300000004</v>
      </c>
      <c r="I82">
        <v>252.373535</v>
      </c>
      <c r="J82">
        <v>684</v>
      </c>
      <c r="K82">
        <v>25.745031000000001</v>
      </c>
      <c r="L82">
        <v>492.14906400000001</v>
      </c>
      <c r="M82">
        <v>719.51820499999997</v>
      </c>
      <c r="N82">
        <v>267.27891599999998</v>
      </c>
      <c r="O82">
        <v>9.4353999999999993E-2</v>
      </c>
      <c r="P82">
        <v>156100.99308099999</v>
      </c>
      <c r="Q82">
        <v>50082.591584000002</v>
      </c>
    </row>
    <row r="83" spans="1:17" x14ac:dyDescent="0.3">
      <c r="A83" s="2">
        <v>46252.375</v>
      </c>
      <c r="B83">
        <v>1471.956238</v>
      </c>
      <c r="C83">
        <v>84.501007999999999</v>
      </c>
      <c r="D83">
        <v>7295.4748540000001</v>
      </c>
      <c r="E83">
        <v>196.555746</v>
      </c>
      <c r="F83">
        <v>5823.5186160000003</v>
      </c>
      <c r="G83">
        <v>7491.5252389999996</v>
      </c>
      <c r="H83">
        <v>10.933160000000001</v>
      </c>
      <c r="I83">
        <v>1092.6048579999999</v>
      </c>
      <c r="J83">
        <v>684</v>
      </c>
      <c r="K83">
        <v>99.009263000000004</v>
      </c>
      <c r="L83">
        <v>311.11563899999999</v>
      </c>
      <c r="M83">
        <v>454.37941899999998</v>
      </c>
      <c r="N83">
        <v>226.73332099999999</v>
      </c>
      <c r="O83">
        <v>9.4664999999999999E-2</v>
      </c>
      <c r="P83">
        <v>156555.37250100001</v>
      </c>
      <c r="Q83">
        <v>50309.324905000001</v>
      </c>
    </row>
    <row r="84" spans="1:17" x14ac:dyDescent="0.3">
      <c r="A84" s="2">
        <v>46253.375</v>
      </c>
      <c r="B84">
        <v>1751.573181</v>
      </c>
      <c r="C84">
        <v>89.912357999999998</v>
      </c>
      <c r="D84">
        <v>6515.0498049999997</v>
      </c>
      <c r="E84">
        <v>200.098479</v>
      </c>
      <c r="F84">
        <v>4763.4766239999999</v>
      </c>
      <c r="G84">
        <v>6670.9684639999996</v>
      </c>
      <c r="H84">
        <v>726.33406500000001</v>
      </c>
      <c r="I84">
        <v>248.21151800000001</v>
      </c>
      <c r="J84">
        <v>684</v>
      </c>
      <c r="K84">
        <v>25.469462</v>
      </c>
      <c r="L84">
        <v>416.59356700000001</v>
      </c>
      <c r="M84">
        <v>609.18266300000005</v>
      </c>
      <c r="N84">
        <v>622.392698</v>
      </c>
      <c r="O84">
        <v>9.5059000000000005E-2</v>
      </c>
      <c r="P84">
        <v>157164.53152300001</v>
      </c>
      <c r="Q84">
        <v>50907.225601999999</v>
      </c>
    </row>
    <row r="85" spans="1:17" x14ac:dyDescent="0.3">
      <c r="A85" s="2">
        <v>46254.375</v>
      </c>
      <c r="B85">
        <v>1774.441284</v>
      </c>
      <c r="C85">
        <v>90.622001999999995</v>
      </c>
      <c r="D85">
        <v>6517.5672610000001</v>
      </c>
      <c r="E85">
        <v>200.14440099999999</v>
      </c>
      <c r="F85">
        <v>4743.1259769999997</v>
      </c>
      <c r="G85">
        <v>6672.7448800000002</v>
      </c>
      <c r="H85">
        <v>741.96540100000004</v>
      </c>
      <c r="I85">
        <v>230.90982700000001</v>
      </c>
      <c r="J85">
        <v>684</v>
      </c>
      <c r="K85">
        <v>23.734783</v>
      </c>
      <c r="L85">
        <v>494.59035899999998</v>
      </c>
      <c r="M85">
        <v>723.08532000000002</v>
      </c>
      <c r="N85">
        <v>249.597579</v>
      </c>
      <c r="O85">
        <v>9.5554E-2</v>
      </c>
      <c r="P85">
        <v>157887.616843</v>
      </c>
      <c r="Q85">
        <v>51156.823181</v>
      </c>
    </row>
    <row r="86" spans="1:17" x14ac:dyDescent="0.3">
      <c r="A86" s="2">
        <v>46255.375</v>
      </c>
      <c r="B86">
        <v>1785.924133</v>
      </c>
      <c r="C86">
        <v>90.491202999999999</v>
      </c>
      <c r="D86">
        <v>6533.1494140000004</v>
      </c>
      <c r="E86">
        <v>200.13500199999999</v>
      </c>
      <c r="F86">
        <v>4747.225281</v>
      </c>
      <c r="G86">
        <v>6688.3771809999998</v>
      </c>
      <c r="H86">
        <v>736.61911799999996</v>
      </c>
      <c r="I86">
        <v>230.37962200000001</v>
      </c>
      <c r="J86">
        <v>684</v>
      </c>
      <c r="K86">
        <v>23.824190999999999</v>
      </c>
      <c r="L86">
        <v>500.25527599999998</v>
      </c>
      <c r="M86">
        <v>731.36736199999996</v>
      </c>
      <c r="N86">
        <v>239.47023799999999</v>
      </c>
      <c r="O86">
        <v>9.6054E-2</v>
      </c>
      <c r="P86">
        <v>158618.98420499999</v>
      </c>
      <c r="Q86">
        <v>51396.293419000001</v>
      </c>
    </row>
    <row r="87" spans="1:17" x14ac:dyDescent="0.3">
      <c r="A87" s="2">
        <v>46256.375</v>
      </c>
      <c r="B87">
        <v>1767.767212</v>
      </c>
      <c r="C87">
        <v>89.606668999999997</v>
      </c>
      <c r="D87">
        <v>6553.5372310000002</v>
      </c>
      <c r="E87">
        <v>200.07498699999999</v>
      </c>
      <c r="F87">
        <v>4785.7700189999996</v>
      </c>
      <c r="G87">
        <v>6710.078109</v>
      </c>
      <c r="H87">
        <v>701.74386600000003</v>
      </c>
      <c r="I87">
        <v>257.53617200000002</v>
      </c>
      <c r="J87">
        <v>684</v>
      </c>
      <c r="K87">
        <v>26.846819</v>
      </c>
      <c r="L87">
        <v>493.36820599999999</v>
      </c>
      <c r="M87">
        <v>721.29854699999999</v>
      </c>
      <c r="N87">
        <v>240.68213900000001</v>
      </c>
      <c r="O87">
        <v>9.6546999999999994E-2</v>
      </c>
      <c r="P87">
        <v>159340.282752</v>
      </c>
      <c r="Q87">
        <v>51636.975557999998</v>
      </c>
    </row>
    <row r="88" spans="1:17" x14ac:dyDescent="0.3">
      <c r="A88" s="2">
        <v>46257.375</v>
      </c>
      <c r="B88">
        <v>1801.9219969999999</v>
      </c>
      <c r="C88">
        <v>91.066852999999995</v>
      </c>
      <c r="D88">
        <v>6547.4548340000001</v>
      </c>
      <c r="E88">
        <v>200.07935900000001</v>
      </c>
      <c r="F88">
        <v>4745.5328369999997</v>
      </c>
      <c r="G88">
        <v>6702.5725389999998</v>
      </c>
      <c r="H88">
        <v>734.37025700000004</v>
      </c>
      <c r="I88">
        <v>226.057095</v>
      </c>
      <c r="J88">
        <v>684</v>
      </c>
      <c r="K88">
        <v>23.537136</v>
      </c>
      <c r="L88">
        <v>489.94315899999998</v>
      </c>
      <c r="M88">
        <v>716.29116799999997</v>
      </c>
      <c r="N88">
        <v>243.387012</v>
      </c>
      <c r="O88">
        <v>9.7036999999999998E-2</v>
      </c>
      <c r="P88">
        <v>160056.57392</v>
      </c>
      <c r="Q88">
        <v>51880.362569999998</v>
      </c>
    </row>
    <row r="89" spans="1:17" x14ac:dyDescent="0.3">
      <c r="A89" s="2">
        <v>46258.375</v>
      </c>
      <c r="B89">
        <v>1792.2055660000001</v>
      </c>
      <c r="C89">
        <v>91.144501000000005</v>
      </c>
      <c r="D89">
        <v>6535.86499</v>
      </c>
      <c r="E89">
        <v>200.088189</v>
      </c>
      <c r="F89">
        <v>4743.6594240000004</v>
      </c>
      <c r="G89">
        <v>6690.9839270000002</v>
      </c>
      <c r="H89">
        <v>735.92686200000003</v>
      </c>
      <c r="I89">
        <v>226.88726399999999</v>
      </c>
      <c r="J89">
        <v>684</v>
      </c>
      <c r="K89">
        <v>23.565011999999999</v>
      </c>
      <c r="L89">
        <v>488.51537300000001</v>
      </c>
      <c r="M89">
        <v>714.20376099999999</v>
      </c>
      <c r="N89">
        <v>244.36605499999999</v>
      </c>
      <c r="O89">
        <v>9.7526000000000002E-2</v>
      </c>
      <c r="P89">
        <v>160770.77768100001</v>
      </c>
      <c r="Q89">
        <v>52124.728625000003</v>
      </c>
    </row>
    <row r="90" spans="1:17" x14ac:dyDescent="0.3">
      <c r="A90" s="2">
        <v>46259.375</v>
      </c>
      <c r="B90">
        <v>1770.122803</v>
      </c>
      <c r="C90">
        <v>91.4422</v>
      </c>
      <c r="D90">
        <v>6531.8945309999999</v>
      </c>
      <c r="E90">
        <v>200.11039199999999</v>
      </c>
      <c r="F90">
        <v>4761.7717279999997</v>
      </c>
      <c r="G90">
        <v>6687.7586199999996</v>
      </c>
      <c r="H90">
        <v>718.88363600000002</v>
      </c>
      <c r="I90">
        <v>243.77847199999999</v>
      </c>
      <c r="J90">
        <v>684</v>
      </c>
      <c r="K90">
        <v>25.323367999999999</v>
      </c>
      <c r="L90">
        <v>493.32884100000001</v>
      </c>
      <c r="M90">
        <v>721.240996</v>
      </c>
      <c r="N90">
        <v>242.656465</v>
      </c>
      <c r="O90">
        <v>9.8018999999999995E-2</v>
      </c>
      <c r="P90">
        <v>161492.01867600001</v>
      </c>
      <c r="Q90">
        <v>52367.385089000003</v>
      </c>
    </row>
    <row r="91" spans="1:17" x14ac:dyDescent="0.3">
      <c r="A91" s="2">
        <v>46260.375</v>
      </c>
      <c r="B91">
        <v>1801.136902</v>
      </c>
      <c r="C91">
        <v>92.263610999999997</v>
      </c>
      <c r="D91">
        <v>6553.2749020000001</v>
      </c>
      <c r="E91">
        <v>200.06498300000001</v>
      </c>
      <c r="F91">
        <v>4752.1379999999999</v>
      </c>
      <c r="G91">
        <v>6708.7064739999996</v>
      </c>
      <c r="H91">
        <v>723.35938399999998</v>
      </c>
      <c r="I91">
        <v>231.81263000000001</v>
      </c>
      <c r="J91">
        <v>684</v>
      </c>
      <c r="K91">
        <v>24.269202</v>
      </c>
      <c r="L91">
        <v>490.42690299999998</v>
      </c>
      <c r="M91">
        <v>716.99839499999996</v>
      </c>
      <c r="N91">
        <v>242.47750600000001</v>
      </c>
      <c r="O91">
        <v>9.851E-2</v>
      </c>
      <c r="P91">
        <v>162209.01707199999</v>
      </c>
      <c r="Q91">
        <v>52609.862594999999</v>
      </c>
    </row>
    <row r="92" spans="1:17" x14ac:dyDescent="0.3">
      <c r="A92" s="2">
        <v>46261.375</v>
      </c>
      <c r="B92">
        <v>1804.6701049999999</v>
      </c>
      <c r="C92">
        <v>90.945601999999994</v>
      </c>
      <c r="D92">
        <v>6571.9973140000002</v>
      </c>
      <c r="E92">
        <v>199.98079899999999</v>
      </c>
      <c r="F92">
        <v>4767.327209</v>
      </c>
      <c r="G92">
        <v>6727.8070049999997</v>
      </c>
      <c r="H92">
        <v>710.09773800000005</v>
      </c>
      <c r="I92">
        <v>238.150544</v>
      </c>
      <c r="J92">
        <v>684</v>
      </c>
      <c r="K92">
        <v>25.114788000000001</v>
      </c>
      <c r="L92">
        <v>478.50822299999999</v>
      </c>
      <c r="M92">
        <v>699.57342600000004</v>
      </c>
      <c r="N92">
        <v>251.45819900000001</v>
      </c>
      <c r="O92">
        <v>9.8988000000000007E-2</v>
      </c>
      <c r="P92">
        <v>162908.59049800001</v>
      </c>
      <c r="Q92">
        <v>52861.320793999999</v>
      </c>
    </row>
    <row r="93" spans="1:17" x14ac:dyDescent="0.3">
      <c r="A93" s="2">
        <v>46262.375</v>
      </c>
      <c r="B93">
        <v>1803.983154</v>
      </c>
      <c r="C93">
        <v>91.577948000000006</v>
      </c>
      <c r="D93">
        <v>6565.8372799999997</v>
      </c>
      <c r="E93">
        <v>200.00863200000001</v>
      </c>
      <c r="F93">
        <v>4761.8541260000002</v>
      </c>
      <c r="G93">
        <v>6721.518255</v>
      </c>
      <c r="H93">
        <v>713.38795900000002</v>
      </c>
      <c r="I93">
        <v>235.63825900000001</v>
      </c>
      <c r="J93">
        <v>684</v>
      </c>
      <c r="K93">
        <v>24.829478000000002</v>
      </c>
      <c r="L93">
        <v>478.41187200000002</v>
      </c>
      <c r="M93">
        <v>699.43256099999996</v>
      </c>
      <c r="N93">
        <v>248.77768900000001</v>
      </c>
      <c r="O93">
        <v>9.9465999999999999E-2</v>
      </c>
      <c r="P93">
        <v>163608.023059</v>
      </c>
      <c r="Q93">
        <v>53110.098483000002</v>
      </c>
    </row>
    <row r="94" spans="1:17" x14ac:dyDescent="0.3">
      <c r="A94" s="2">
        <v>46263.375</v>
      </c>
      <c r="B94">
        <v>1790.831543</v>
      </c>
      <c r="C94">
        <v>91.794601</v>
      </c>
      <c r="D94">
        <v>6553.4624020000001</v>
      </c>
      <c r="E94">
        <v>200.011</v>
      </c>
      <c r="F94">
        <v>4762.6308589999999</v>
      </c>
      <c r="G94">
        <v>6709.2621250000002</v>
      </c>
      <c r="H94">
        <v>712.44921799999997</v>
      </c>
      <c r="I94">
        <v>239.16639900000001</v>
      </c>
      <c r="J94">
        <v>684</v>
      </c>
      <c r="K94">
        <v>25.132669</v>
      </c>
      <c r="L94">
        <v>479.19163300000002</v>
      </c>
      <c r="M94">
        <v>700.57256199999995</v>
      </c>
      <c r="N94">
        <v>249.7851</v>
      </c>
      <c r="O94">
        <v>9.9945999999999993E-2</v>
      </c>
      <c r="P94">
        <v>164308.59562199999</v>
      </c>
      <c r="Q94">
        <v>53359.883583000003</v>
      </c>
    </row>
    <row r="95" spans="1:17" x14ac:dyDescent="0.3">
      <c r="A95" s="2">
        <v>46264.375</v>
      </c>
      <c r="B95">
        <v>1772.281982</v>
      </c>
      <c r="C95">
        <v>91.122968999999998</v>
      </c>
      <c r="D95">
        <v>6550.1823729999996</v>
      </c>
      <c r="E95">
        <v>200.07438200000001</v>
      </c>
      <c r="F95">
        <v>4777.9003910000001</v>
      </c>
      <c r="G95">
        <v>6706.5481170000003</v>
      </c>
      <c r="H95">
        <v>699.56631900000002</v>
      </c>
      <c r="I95">
        <v>251.74204800000001</v>
      </c>
      <c r="J95">
        <v>684</v>
      </c>
      <c r="K95">
        <v>26.462717999999999</v>
      </c>
      <c r="L95">
        <v>478.16754900000001</v>
      </c>
      <c r="M95">
        <v>699.07536400000004</v>
      </c>
      <c r="N95">
        <v>251.17517000000001</v>
      </c>
      <c r="O95">
        <v>0.100424</v>
      </c>
      <c r="P95">
        <v>165007.67098600001</v>
      </c>
      <c r="Q95">
        <v>53611.058752999998</v>
      </c>
    </row>
    <row r="96" spans="1:17" x14ac:dyDescent="0.3">
      <c r="A96" s="2">
        <v>46265.375</v>
      </c>
      <c r="B96">
        <v>1763.0563959999999</v>
      </c>
      <c r="C96">
        <v>89.670169000000001</v>
      </c>
      <c r="D96">
        <v>6548.8248290000001</v>
      </c>
      <c r="E96">
        <v>200.05894900000001</v>
      </c>
      <c r="F96">
        <v>4785.7684330000002</v>
      </c>
      <c r="G96">
        <v>6705.3926179999999</v>
      </c>
      <c r="H96">
        <v>694.51617899999997</v>
      </c>
      <c r="I96">
        <v>256.01184699999999</v>
      </c>
      <c r="J96">
        <v>684</v>
      </c>
      <c r="K96">
        <v>26.933644999999999</v>
      </c>
      <c r="L96">
        <v>478.22063200000002</v>
      </c>
      <c r="M96">
        <v>699.15297099999998</v>
      </c>
      <c r="N96">
        <v>252.08012099999999</v>
      </c>
      <c r="O96">
        <v>0.10090200000000001</v>
      </c>
      <c r="P96">
        <v>165706.82395699999</v>
      </c>
      <c r="Q96">
        <v>53863.138873999997</v>
      </c>
    </row>
    <row r="97" spans="1:17" x14ac:dyDescent="0.3">
      <c r="A97" s="2">
        <v>46266.375</v>
      </c>
      <c r="B97">
        <v>1787.6417240000001</v>
      </c>
      <c r="C97">
        <v>92.140900000000002</v>
      </c>
      <c r="D97">
        <v>6539.9997560000002</v>
      </c>
      <c r="E97">
        <v>200.03912199999999</v>
      </c>
      <c r="F97">
        <v>4752.3580320000001</v>
      </c>
      <c r="G97">
        <v>6695.5058250000002</v>
      </c>
      <c r="H97">
        <v>719.26076</v>
      </c>
      <c r="I97">
        <v>233.13746900000001</v>
      </c>
      <c r="J97">
        <v>684</v>
      </c>
      <c r="K97">
        <v>24.47899</v>
      </c>
      <c r="L97">
        <v>482.43411400000002</v>
      </c>
      <c r="M97">
        <v>705.31303300000002</v>
      </c>
      <c r="N97">
        <v>243.97135800000001</v>
      </c>
      <c r="O97">
        <v>0.101384</v>
      </c>
      <c r="P97">
        <v>166412.13699</v>
      </c>
      <c r="Q97">
        <v>54107.110232999999</v>
      </c>
    </row>
    <row r="98" spans="1:17" x14ac:dyDescent="0.3">
      <c r="A98" s="2">
        <v>46267.375</v>
      </c>
      <c r="B98">
        <v>1765.902466</v>
      </c>
      <c r="C98">
        <v>92.101794999999996</v>
      </c>
      <c r="D98">
        <v>6532.5298339999999</v>
      </c>
      <c r="E98">
        <v>200.09624099999999</v>
      </c>
      <c r="F98">
        <v>4766.6273680000004</v>
      </c>
      <c r="G98">
        <v>6688.622652</v>
      </c>
      <c r="H98">
        <v>706.72557099999995</v>
      </c>
      <c r="I98">
        <v>246.625441</v>
      </c>
      <c r="J98">
        <v>684</v>
      </c>
      <c r="K98">
        <v>25.869322</v>
      </c>
      <c r="L98">
        <v>481.87820499999998</v>
      </c>
      <c r="M98">
        <v>704.50030000000004</v>
      </c>
      <c r="N98">
        <v>249.22074699999999</v>
      </c>
      <c r="O98">
        <v>0.101866</v>
      </c>
      <c r="P98">
        <v>167116.63729000001</v>
      </c>
      <c r="Q98">
        <v>54356.330979999999</v>
      </c>
    </row>
    <row r="99" spans="1:17" x14ac:dyDescent="0.3">
      <c r="A99" s="2">
        <v>46268.375</v>
      </c>
      <c r="B99">
        <v>1785.106364</v>
      </c>
      <c r="C99">
        <v>92.499151999999995</v>
      </c>
      <c r="D99">
        <v>6539.3048099999996</v>
      </c>
      <c r="E99">
        <v>200.082999</v>
      </c>
      <c r="F99">
        <v>4754.1984460000003</v>
      </c>
      <c r="G99">
        <v>6694.9146529999998</v>
      </c>
      <c r="H99">
        <v>715.29557899999998</v>
      </c>
      <c r="I99">
        <v>235.019903</v>
      </c>
      <c r="J99">
        <v>684</v>
      </c>
      <c r="K99">
        <v>24.730723999999999</v>
      </c>
      <c r="L99">
        <v>481.861469</v>
      </c>
      <c r="M99">
        <v>704.47583199999997</v>
      </c>
      <c r="N99">
        <v>247.69539800000001</v>
      </c>
      <c r="O99">
        <v>0.10234799999999999</v>
      </c>
      <c r="P99">
        <v>167821.11312200001</v>
      </c>
      <c r="Q99">
        <v>54604.026377000002</v>
      </c>
    </row>
    <row r="100" spans="1:17" x14ac:dyDescent="0.3">
      <c r="A100" s="2">
        <v>46269.375</v>
      </c>
      <c r="B100">
        <v>1755.9896650000001</v>
      </c>
      <c r="C100">
        <v>91.611603000000002</v>
      </c>
      <c r="D100">
        <v>6535.4099120000001</v>
      </c>
      <c r="E100">
        <v>200.06420199999999</v>
      </c>
      <c r="F100">
        <v>4779.420247</v>
      </c>
      <c r="G100">
        <v>6691.9442120000003</v>
      </c>
      <c r="H100">
        <v>694.61850200000003</v>
      </c>
      <c r="I100">
        <v>255.46755999999999</v>
      </c>
      <c r="J100">
        <v>684</v>
      </c>
      <c r="K100">
        <v>26.888885999999999</v>
      </c>
      <c r="L100">
        <v>480.28494799999999</v>
      </c>
      <c r="M100">
        <v>702.17097699999999</v>
      </c>
      <c r="N100">
        <v>248.126746</v>
      </c>
      <c r="O100">
        <v>0.102829</v>
      </c>
      <c r="P100">
        <v>168523.284098</v>
      </c>
      <c r="Q100">
        <v>54852.153122999996</v>
      </c>
    </row>
    <row r="101" spans="1:17" x14ac:dyDescent="0.3">
      <c r="A101" s="2">
        <v>46270.375</v>
      </c>
      <c r="B101">
        <v>1776.927531</v>
      </c>
      <c r="C101">
        <v>91.482399000000001</v>
      </c>
      <c r="D101">
        <v>6540.830078</v>
      </c>
      <c r="E101">
        <v>200.04160200000001</v>
      </c>
      <c r="F101">
        <v>4763.9025469999997</v>
      </c>
      <c r="G101">
        <v>6696.7288820000003</v>
      </c>
      <c r="H101">
        <v>706.80286999999998</v>
      </c>
      <c r="I101">
        <v>240.699668</v>
      </c>
      <c r="J101">
        <v>684</v>
      </c>
      <c r="K101">
        <v>25.403590999999999</v>
      </c>
      <c r="L101">
        <v>479.86021399999998</v>
      </c>
      <c r="M101">
        <v>701.55002100000002</v>
      </c>
      <c r="N101">
        <v>247.85451399999999</v>
      </c>
      <c r="O101">
        <v>0.103308</v>
      </c>
      <c r="P101">
        <v>169224.83411900001</v>
      </c>
      <c r="Q101">
        <v>55100.007637000002</v>
      </c>
    </row>
    <row r="102" spans="1:17" x14ac:dyDescent="0.3">
      <c r="A102" s="2">
        <v>46271.375</v>
      </c>
      <c r="B102">
        <v>1779.8717449999999</v>
      </c>
      <c r="C102">
        <v>91.087948999999995</v>
      </c>
      <c r="D102">
        <v>6565.9774170000001</v>
      </c>
      <c r="E102">
        <v>200.00297599999999</v>
      </c>
      <c r="F102">
        <v>4786.1056719999997</v>
      </c>
      <c r="G102">
        <v>6722.5565379999998</v>
      </c>
      <c r="H102">
        <v>685.73440900000003</v>
      </c>
      <c r="I102">
        <v>252.79668899999999</v>
      </c>
      <c r="J102">
        <v>684</v>
      </c>
      <c r="K102">
        <v>26.935355999999999</v>
      </c>
      <c r="L102">
        <v>477.14482500000003</v>
      </c>
      <c r="M102">
        <v>697.580153</v>
      </c>
      <c r="N102">
        <v>246.58619100000001</v>
      </c>
      <c r="O102">
        <v>0.103786</v>
      </c>
      <c r="P102">
        <v>169922.414273</v>
      </c>
      <c r="Q102">
        <v>55346.593827999997</v>
      </c>
    </row>
    <row r="103" spans="1:17" x14ac:dyDescent="0.3">
      <c r="A103" s="2">
        <v>46272.375</v>
      </c>
      <c r="B103">
        <v>1796.556722</v>
      </c>
      <c r="C103">
        <v>91.034148999999999</v>
      </c>
      <c r="D103">
        <v>6573.8452150000003</v>
      </c>
      <c r="E103">
        <v>199.95733999999999</v>
      </c>
      <c r="F103">
        <v>4777.288493</v>
      </c>
      <c r="G103">
        <v>6730.0280419999999</v>
      </c>
      <c r="H103">
        <v>691.99463300000002</v>
      </c>
      <c r="I103">
        <v>243.13731000000001</v>
      </c>
      <c r="J103">
        <v>684</v>
      </c>
      <c r="K103">
        <v>26.000321</v>
      </c>
      <c r="L103">
        <v>470.12076500000001</v>
      </c>
      <c r="M103">
        <v>687.311059</v>
      </c>
      <c r="N103">
        <v>248.80529000000001</v>
      </c>
      <c r="O103">
        <v>0.104256</v>
      </c>
      <c r="P103">
        <v>170609.725332</v>
      </c>
      <c r="Q103">
        <v>55595.399119000002</v>
      </c>
    </row>
    <row r="104" spans="1:17" x14ac:dyDescent="0.3">
      <c r="A104" s="2">
        <v>46273.375</v>
      </c>
      <c r="B104">
        <v>1798.84672</v>
      </c>
      <c r="C104">
        <v>91.906474000000003</v>
      </c>
      <c r="D104">
        <v>6571.3125</v>
      </c>
      <c r="E104">
        <v>199.95740599999999</v>
      </c>
      <c r="F104">
        <v>4772.4657800000004</v>
      </c>
      <c r="G104">
        <v>6727.3894469999996</v>
      </c>
      <c r="H104">
        <v>693.99103500000001</v>
      </c>
      <c r="I104">
        <v>240.81079199999999</v>
      </c>
      <c r="J104">
        <v>684</v>
      </c>
      <c r="K104">
        <v>25.760625000000001</v>
      </c>
      <c r="L104">
        <v>470.272041</v>
      </c>
      <c r="M104">
        <v>687.53222400000004</v>
      </c>
      <c r="N104">
        <v>247.43875</v>
      </c>
      <c r="O104">
        <v>0.104726</v>
      </c>
      <c r="P104">
        <v>171297.257556</v>
      </c>
      <c r="Q104">
        <v>55842.837869000003</v>
      </c>
    </row>
    <row r="105" spans="1:17" x14ac:dyDescent="0.3">
      <c r="A105" s="2">
        <v>46274.375</v>
      </c>
      <c r="B105">
        <v>1786.5459390000001</v>
      </c>
      <c r="C105">
        <v>91.877851000000007</v>
      </c>
      <c r="D105">
        <v>6560.4348140000002</v>
      </c>
      <c r="E105">
        <v>199.95135300000001</v>
      </c>
      <c r="F105">
        <v>4773.8888749999996</v>
      </c>
      <c r="G105">
        <v>6716.62824</v>
      </c>
      <c r="H105">
        <v>692.83384999999998</v>
      </c>
      <c r="I105">
        <v>244.10357400000001</v>
      </c>
      <c r="J105">
        <v>684</v>
      </c>
      <c r="K105">
        <v>26.053349000000001</v>
      </c>
      <c r="L105">
        <v>466.07994500000001</v>
      </c>
      <c r="M105">
        <v>681.40342799999996</v>
      </c>
      <c r="N105">
        <v>252.35423299999999</v>
      </c>
      <c r="O105">
        <v>0.10519199999999999</v>
      </c>
      <c r="P105">
        <v>171978.66098399999</v>
      </c>
      <c r="Q105">
        <v>56095.192102000001</v>
      </c>
    </row>
    <row r="106" spans="1:17" x14ac:dyDescent="0.3">
      <c r="A106" s="2">
        <v>46275.375</v>
      </c>
      <c r="B106">
        <v>1734.201497</v>
      </c>
      <c r="C106">
        <v>91.320419000000001</v>
      </c>
      <c r="D106">
        <v>6540.3616940000002</v>
      </c>
      <c r="E106">
        <v>199.978024</v>
      </c>
      <c r="F106">
        <v>4806.1601970000002</v>
      </c>
      <c r="G106">
        <v>6697.8786899999996</v>
      </c>
      <c r="H106">
        <v>667.13096399999995</v>
      </c>
      <c r="I106">
        <v>274.36697400000003</v>
      </c>
      <c r="J106">
        <v>684</v>
      </c>
      <c r="K106">
        <v>29.141537</v>
      </c>
      <c r="L106">
        <v>413.64387399999998</v>
      </c>
      <c r="M106">
        <v>601.447633</v>
      </c>
      <c r="N106">
        <v>262.29738800000001</v>
      </c>
      <c r="O106">
        <v>0.1056</v>
      </c>
      <c r="P106">
        <v>172580.10861699999</v>
      </c>
      <c r="Q106">
        <v>56357.48949</v>
      </c>
    </row>
    <row r="107" spans="1:17" x14ac:dyDescent="0.3">
      <c r="A107" s="2">
        <v>46276.375</v>
      </c>
      <c r="B107">
        <v>1765.1499839999999</v>
      </c>
      <c r="C107">
        <v>88.312920000000005</v>
      </c>
      <c r="D107">
        <v>6548.8248290000001</v>
      </c>
      <c r="E107">
        <v>199.98294100000001</v>
      </c>
      <c r="F107">
        <v>4783.6748449999996</v>
      </c>
      <c r="G107">
        <v>6705.1939849999999</v>
      </c>
      <c r="H107">
        <v>689.64121899999998</v>
      </c>
      <c r="I107">
        <v>248.50501199999999</v>
      </c>
      <c r="J107">
        <v>684</v>
      </c>
      <c r="K107">
        <v>26.488942000000002</v>
      </c>
      <c r="L107">
        <v>470.51180799999997</v>
      </c>
      <c r="M107">
        <v>687.88276099999996</v>
      </c>
      <c r="N107">
        <v>252.81156300000001</v>
      </c>
      <c r="O107">
        <v>0.106071</v>
      </c>
      <c r="P107">
        <v>173267.99137800001</v>
      </c>
      <c r="Q107">
        <v>56610.301053000003</v>
      </c>
    </row>
    <row r="108" spans="1:17" x14ac:dyDescent="0.3">
      <c r="A108" s="2">
        <v>46277.375</v>
      </c>
      <c r="B108">
        <v>1785.3679609999999</v>
      </c>
      <c r="C108">
        <v>91.757553999999999</v>
      </c>
      <c r="D108">
        <v>6546.6627200000003</v>
      </c>
      <c r="E108">
        <v>199.992346</v>
      </c>
      <c r="F108">
        <v>4761.2947590000003</v>
      </c>
      <c r="G108">
        <v>6702.4374580000003</v>
      </c>
      <c r="H108">
        <v>702.33229200000005</v>
      </c>
      <c r="I108">
        <v>235.51964100000001</v>
      </c>
      <c r="J108">
        <v>684</v>
      </c>
      <c r="K108">
        <v>25.112667999999999</v>
      </c>
      <c r="L108">
        <v>469.99673100000001</v>
      </c>
      <c r="M108">
        <v>687.12972400000001</v>
      </c>
      <c r="N108">
        <v>251.306579</v>
      </c>
      <c r="O108">
        <v>0.106541</v>
      </c>
      <c r="P108">
        <v>173955.121102</v>
      </c>
      <c r="Q108">
        <v>56861.607631999999</v>
      </c>
    </row>
    <row r="109" spans="1:17" x14ac:dyDescent="0.3">
      <c r="A109" s="2">
        <v>46278.375</v>
      </c>
      <c r="B109">
        <v>1779.413818</v>
      </c>
      <c r="C109">
        <v>92.360158999999996</v>
      </c>
      <c r="D109">
        <v>6552.6545409999999</v>
      </c>
      <c r="E109">
        <v>199.991983</v>
      </c>
      <c r="F109">
        <v>4773.2407229999999</v>
      </c>
      <c r="G109">
        <v>6708.90661</v>
      </c>
      <c r="H109">
        <v>689.71315700000002</v>
      </c>
      <c r="I109">
        <v>245.04386400000001</v>
      </c>
      <c r="J109">
        <v>684</v>
      </c>
      <c r="K109">
        <v>26.214711999999999</v>
      </c>
      <c r="L109">
        <v>469.80487799999997</v>
      </c>
      <c r="M109">
        <v>686.84923700000002</v>
      </c>
      <c r="N109">
        <v>250.64352299999999</v>
      </c>
      <c r="O109">
        <v>0.10700999999999999</v>
      </c>
      <c r="P109">
        <v>174641.97033800001</v>
      </c>
      <c r="Q109">
        <v>57112.251154999998</v>
      </c>
    </row>
    <row r="110" spans="1:17" x14ac:dyDescent="0.3">
      <c r="A110" s="2">
        <v>46279.375</v>
      </c>
      <c r="B110">
        <v>1766.720337</v>
      </c>
      <c r="C110">
        <v>92.439819999999997</v>
      </c>
      <c r="D110">
        <v>6551.5798340000001</v>
      </c>
      <c r="E110">
        <v>199.96442300000001</v>
      </c>
      <c r="F110">
        <v>4784.8594970000004</v>
      </c>
      <c r="G110">
        <v>6708.2820259999999</v>
      </c>
      <c r="H110">
        <v>679.27485999999999</v>
      </c>
      <c r="I110">
        <v>254.54064299999999</v>
      </c>
      <c r="J110">
        <v>684</v>
      </c>
      <c r="K110">
        <v>27.258130000000001</v>
      </c>
      <c r="L110">
        <v>465.91494799999998</v>
      </c>
      <c r="M110">
        <v>681.16220399999997</v>
      </c>
      <c r="N110">
        <v>253.15342799999999</v>
      </c>
      <c r="O110">
        <v>0.107476</v>
      </c>
      <c r="P110">
        <v>175323.13254300001</v>
      </c>
      <c r="Q110">
        <v>57365.404583000003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84FA-8AD6-4745-867F-2CCC69D4B7CD}">
  <dimension ref="A1:W28"/>
  <sheetViews>
    <sheetView workbookViewId="0">
      <selection activeCell="E33" sqref="E33"/>
    </sheetView>
  </sheetViews>
  <sheetFormatPr defaultRowHeight="14.4" x14ac:dyDescent="0.3"/>
  <cols>
    <col min="1" max="2" width="24.5546875" bestFit="1" customWidth="1"/>
  </cols>
  <sheetData>
    <row r="1" spans="1:23" ht="15.6" x14ac:dyDescent="0.3">
      <c r="A1" s="3" t="s">
        <v>34</v>
      </c>
      <c r="B1" s="4" t="s">
        <v>35</v>
      </c>
      <c r="C1" s="4"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56</v>
      </c>
      <c r="W1" s="5" t="s">
        <v>57</v>
      </c>
    </row>
    <row r="2" spans="1:23" ht="15.6" x14ac:dyDescent="0.3">
      <c r="A2" s="6" t="s">
        <v>26</v>
      </c>
      <c r="B2" s="7" t="s">
        <v>26</v>
      </c>
      <c r="C2" s="7" t="s">
        <v>27</v>
      </c>
      <c r="D2" s="8"/>
      <c r="E2" s="8" t="s">
        <v>18</v>
      </c>
      <c r="F2" s="8" t="s">
        <v>18</v>
      </c>
      <c r="G2" s="8" t="s">
        <v>18</v>
      </c>
      <c r="H2" s="8" t="s">
        <v>18</v>
      </c>
      <c r="I2" s="8" t="s">
        <v>18</v>
      </c>
      <c r="J2" s="8" t="s">
        <v>18</v>
      </c>
      <c r="K2" s="8" t="s">
        <v>28</v>
      </c>
      <c r="L2" s="8" t="s">
        <v>28</v>
      </c>
      <c r="M2" s="8" t="s">
        <v>29</v>
      </c>
      <c r="N2" s="8" t="s">
        <v>29</v>
      </c>
      <c r="O2" s="8"/>
      <c r="P2" s="8" t="s">
        <v>30</v>
      </c>
      <c r="Q2" s="8" t="s">
        <v>18</v>
      </c>
      <c r="R2" s="8" t="s">
        <v>18</v>
      </c>
      <c r="S2" s="8" t="s">
        <v>22</v>
      </c>
      <c r="T2" s="8" t="s">
        <v>58</v>
      </c>
      <c r="U2" s="8" t="s">
        <v>31</v>
      </c>
      <c r="V2" s="8" t="s">
        <v>33</v>
      </c>
      <c r="W2" s="8" t="s">
        <v>32</v>
      </c>
    </row>
    <row r="3" spans="1:23" x14ac:dyDescent="0.3">
      <c r="A3" s="9">
        <v>46042.587500000001</v>
      </c>
      <c r="B3" s="9">
        <v>46045.338888888888</v>
      </c>
      <c r="C3" s="10">
        <v>66</v>
      </c>
      <c r="D3" s="10" t="s">
        <v>55</v>
      </c>
      <c r="E3" s="10">
        <v>3671</v>
      </c>
      <c r="F3" s="10">
        <v>5795</v>
      </c>
      <c r="G3" s="10">
        <v>8655</v>
      </c>
      <c r="H3" s="10">
        <v>10648</v>
      </c>
      <c r="I3" s="10">
        <v>8816</v>
      </c>
      <c r="J3" s="10">
        <v>10917</v>
      </c>
      <c r="K3" s="10">
        <v>1729</v>
      </c>
      <c r="L3" s="10">
        <v>1729</v>
      </c>
      <c r="M3" s="10">
        <v>152</v>
      </c>
      <c r="N3" s="10">
        <v>155</v>
      </c>
      <c r="O3" s="10">
        <v>8.5</v>
      </c>
      <c r="P3" s="10">
        <v>1096</v>
      </c>
      <c r="Q3" s="10">
        <v>10643</v>
      </c>
      <c r="R3" s="10">
        <v>11115</v>
      </c>
      <c r="S3" s="10">
        <v>40.01</v>
      </c>
      <c r="T3" s="10">
        <v>0.95</v>
      </c>
      <c r="U3" s="10">
        <v>0.63</v>
      </c>
      <c r="V3" s="10">
        <v>5115</v>
      </c>
      <c r="W3" s="10">
        <v>2730</v>
      </c>
    </row>
    <row r="4" spans="1:23" x14ac:dyDescent="0.3">
      <c r="A4" s="11">
        <v>46045.695833333331</v>
      </c>
      <c r="B4" s="11">
        <v>46059.357638888891</v>
      </c>
      <c r="C4" s="12">
        <v>327.9</v>
      </c>
      <c r="D4" s="12" t="s">
        <v>55</v>
      </c>
      <c r="E4" s="12">
        <v>3136</v>
      </c>
      <c r="F4" s="12">
        <v>5770</v>
      </c>
      <c r="G4" s="12">
        <v>9698</v>
      </c>
      <c r="H4" s="12">
        <v>10640</v>
      </c>
      <c r="I4" s="12">
        <v>9859</v>
      </c>
      <c r="J4" s="12">
        <v>10909</v>
      </c>
      <c r="K4" s="12">
        <v>912</v>
      </c>
      <c r="L4" s="12">
        <v>912</v>
      </c>
      <c r="M4" s="12">
        <v>250</v>
      </c>
      <c r="N4" s="12">
        <v>255</v>
      </c>
      <c r="O4" s="12">
        <v>17.5</v>
      </c>
      <c r="P4" s="12">
        <v>735</v>
      </c>
      <c r="Q4" s="12">
        <v>10840</v>
      </c>
      <c r="R4" s="12">
        <v>11045</v>
      </c>
      <c r="S4" s="12">
        <v>25.12</v>
      </c>
      <c r="T4" s="12">
        <v>0.93</v>
      </c>
      <c r="U4" s="12">
        <v>0.81</v>
      </c>
      <c r="V4" s="12">
        <v>8403</v>
      </c>
      <c r="W4" s="12">
        <v>4433</v>
      </c>
    </row>
    <row r="5" spans="1:23" x14ac:dyDescent="0.3">
      <c r="A5" s="11">
        <v>46064.395833333336</v>
      </c>
      <c r="B5" s="11">
        <v>46073.325694444444</v>
      </c>
      <c r="C5" s="12">
        <v>214.3</v>
      </c>
      <c r="D5" s="12" t="s">
        <v>55</v>
      </c>
      <c r="E5" s="12">
        <v>3810</v>
      </c>
      <c r="F5" s="12">
        <v>5554</v>
      </c>
      <c r="G5" s="12">
        <v>8960</v>
      </c>
      <c r="H5" s="12">
        <v>10690</v>
      </c>
      <c r="I5" s="12">
        <v>9119</v>
      </c>
      <c r="J5" s="12">
        <v>10955</v>
      </c>
      <c r="K5" s="12">
        <v>1351</v>
      </c>
      <c r="L5" s="12">
        <v>1351</v>
      </c>
      <c r="M5" s="12">
        <v>154</v>
      </c>
      <c r="N5" s="12">
        <v>157</v>
      </c>
      <c r="O5" s="12">
        <v>9.9</v>
      </c>
      <c r="P5" s="12">
        <v>991</v>
      </c>
      <c r="Q5" s="12">
        <v>10675</v>
      </c>
      <c r="R5" s="12">
        <v>11032</v>
      </c>
      <c r="S5" s="12">
        <v>36.270000000000003</v>
      </c>
      <c r="T5" s="12">
        <v>0.87</v>
      </c>
      <c r="U5" s="12">
        <v>0.73</v>
      </c>
      <c r="V5" s="12">
        <v>5187</v>
      </c>
      <c r="W5" s="12">
        <v>2760</v>
      </c>
    </row>
    <row r="6" spans="1:23" x14ac:dyDescent="0.3">
      <c r="A6" s="11">
        <v>46081.749305555553</v>
      </c>
      <c r="B6" s="11">
        <v>46082.464583333334</v>
      </c>
      <c r="C6" s="12">
        <v>17.2</v>
      </c>
      <c r="D6" s="12" t="s">
        <v>55</v>
      </c>
      <c r="E6" s="12">
        <v>2982</v>
      </c>
      <c r="F6" s="12">
        <v>5079</v>
      </c>
      <c r="G6" s="12">
        <v>7834</v>
      </c>
      <c r="H6" s="12">
        <v>10048</v>
      </c>
      <c r="I6" s="12">
        <v>7985</v>
      </c>
      <c r="J6" s="12">
        <v>10122</v>
      </c>
      <c r="K6" s="12">
        <v>1636</v>
      </c>
      <c r="L6" s="12">
        <v>1636</v>
      </c>
      <c r="M6" s="12">
        <v>50.4</v>
      </c>
      <c r="N6" s="12">
        <v>52.5</v>
      </c>
      <c r="O6" s="12">
        <v>0.2</v>
      </c>
      <c r="P6" s="12">
        <v>87</v>
      </c>
      <c r="Q6" s="12">
        <v>9914</v>
      </c>
      <c r="R6" s="12">
        <v>11034</v>
      </c>
      <c r="S6" s="12">
        <v>95.47</v>
      </c>
      <c r="T6" s="12">
        <v>0.85</v>
      </c>
      <c r="U6" s="12">
        <v>0.05</v>
      </c>
      <c r="V6" s="12">
        <v>1732</v>
      </c>
      <c r="W6" s="12">
        <v>1016</v>
      </c>
    </row>
    <row r="7" spans="1:23" x14ac:dyDescent="0.3">
      <c r="A7" s="11">
        <v>46084.749305555553</v>
      </c>
      <c r="B7" s="11">
        <v>46086.146527777775</v>
      </c>
      <c r="C7" s="12">
        <v>33.5</v>
      </c>
      <c r="D7" s="12" t="s">
        <v>55</v>
      </c>
      <c r="E7" s="12">
        <v>2951</v>
      </c>
      <c r="F7" s="12">
        <v>47</v>
      </c>
      <c r="G7" s="12">
        <v>7834</v>
      </c>
      <c r="H7" s="12">
        <v>10168</v>
      </c>
      <c r="I7" s="12">
        <v>7987</v>
      </c>
      <c r="J7" s="12">
        <v>10361</v>
      </c>
      <c r="K7" s="12">
        <v>1368</v>
      </c>
      <c r="L7" s="12">
        <v>1368</v>
      </c>
      <c r="M7" s="12">
        <v>54.2</v>
      </c>
      <c r="N7" s="12">
        <v>57.1</v>
      </c>
      <c r="O7" s="12">
        <v>2</v>
      </c>
      <c r="P7" s="12">
        <v>562</v>
      </c>
      <c r="Q7" s="12">
        <v>9999</v>
      </c>
      <c r="R7" s="12">
        <v>10894</v>
      </c>
      <c r="S7" s="12">
        <v>72.08</v>
      </c>
      <c r="T7" s="12">
        <v>0.68</v>
      </c>
      <c r="U7" s="12">
        <v>0.41</v>
      </c>
      <c r="V7" s="12">
        <v>1885</v>
      </c>
      <c r="W7" s="12">
        <v>1128</v>
      </c>
    </row>
    <row r="8" spans="1:23" x14ac:dyDescent="0.3">
      <c r="A8" s="11">
        <v>46177.157407407409</v>
      </c>
      <c r="B8" s="11">
        <v>46177.511342592596</v>
      </c>
      <c r="C8" s="12">
        <v>8.5</v>
      </c>
      <c r="D8" s="12" t="s">
        <v>55</v>
      </c>
      <c r="E8" s="12">
        <v>2254</v>
      </c>
      <c r="F8" s="12">
        <v>4587</v>
      </c>
      <c r="G8" s="12">
        <v>7138</v>
      </c>
      <c r="H8" s="12">
        <v>9627</v>
      </c>
      <c r="I8" s="12">
        <v>7292</v>
      </c>
      <c r="J8" s="12">
        <v>9824</v>
      </c>
      <c r="K8" s="12">
        <v>908</v>
      </c>
      <c r="L8" s="12">
        <v>908</v>
      </c>
      <c r="M8" s="12">
        <v>72.8</v>
      </c>
      <c r="N8" s="12">
        <v>76.599999999999994</v>
      </c>
      <c r="O8" s="12">
        <v>12.4</v>
      </c>
      <c r="P8" s="12">
        <v>1673</v>
      </c>
      <c r="Q8" s="12">
        <v>9689</v>
      </c>
      <c r="R8" s="12">
        <v>10166</v>
      </c>
      <c r="S8" s="12">
        <v>30.19</v>
      </c>
      <c r="T8" s="12">
        <v>0.38</v>
      </c>
      <c r="U8" s="12">
        <v>1.84</v>
      </c>
      <c r="V8" s="12">
        <v>2529</v>
      </c>
      <c r="W8" s="12">
        <v>1534</v>
      </c>
    </row>
    <row r="9" spans="1:23" x14ac:dyDescent="0.3">
      <c r="A9" s="13">
        <v>46185.43472222222</v>
      </c>
      <c r="B9" s="13">
        <v>46185.669444444444</v>
      </c>
      <c r="C9" s="14">
        <v>5.6</v>
      </c>
      <c r="D9" s="14" t="s">
        <v>55</v>
      </c>
      <c r="E9" s="14">
        <v>2179</v>
      </c>
      <c r="F9" s="14">
        <v>4575</v>
      </c>
      <c r="G9" s="14">
        <v>7131</v>
      </c>
      <c r="H9" s="14">
        <v>9711</v>
      </c>
      <c r="I9" s="14">
        <v>7285</v>
      </c>
      <c r="J9" s="14">
        <v>9907</v>
      </c>
      <c r="K9" s="14">
        <v>897</v>
      </c>
      <c r="L9" s="14">
        <v>897</v>
      </c>
      <c r="M9" s="14">
        <v>88.8</v>
      </c>
      <c r="N9" s="14">
        <v>93.2</v>
      </c>
      <c r="O9" s="14">
        <v>17.5</v>
      </c>
      <c r="P9" s="14">
        <v>1927</v>
      </c>
      <c r="Q9" s="14">
        <v>9811</v>
      </c>
      <c r="R9" s="14">
        <v>10199</v>
      </c>
      <c r="S9" s="14">
        <v>23.73</v>
      </c>
      <c r="T9" s="14">
        <v>0.36</v>
      </c>
      <c r="U9" s="14">
        <v>2.15</v>
      </c>
      <c r="V9" s="14">
        <v>3074</v>
      </c>
      <c r="W9" s="14">
        <v>1840</v>
      </c>
    </row>
    <row r="10" spans="1:23" x14ac:dyDescent="0.3">
      <c r="A10" s="13">
        <v>46192.406944444447</v>
      </c>
      <c r="B10" s="13">
        <v>46193.021527777775</v>
      </c>
      <c r="C10" s="14">
        <v>14.8</v>
      </c>
      <c r="D10" s="14" t="s">
        <v>55</v>
      </c>
      <c r="E10" s="14">
        <v>2506</v>
      </c>
      <c r="F10" s="14">
        <v>4542</v>
      </c>
      <c r="G10" s="14">
        <v>7516</v>
      </c>
      <c r="H10" s="14">
        <v>9646</v>
      </c>
      <c r="I10" s="14">
        <v>7672</v>
      </c>
      <c r="J10" s="14">
        <v>9843</v>
      </c>
      <c r="K10" s="14">
        <v>744</v>
      </c>
      <c r="L10" s="14">
        <v>744</v>
      </c>
      <c r="M10" s="14">
        <v>74.400000000000006</v>
      </c>
      <c r="N10" s="14">
        <v>78.7</v>
      </c>
      <c r="O10" s="14">
        <v>14.2</v>
      </c>
      <c r="P10" s="14">
        <v>1546</v>
      </c>
      <c r="Q10" s="14">
        <v>9803</v>
      </c>
      <c r="R10" s="14">
        <v>10203</v>
      </c>
      <c r="S10" s="14">
        <v>27.46</v>
      </c>
      <c r="T10" s="14">
        <v>0.35</v>
      </c>
      <c r="U10" s="14">
        <v>2.08</v>
      </c>
      <c r="V10" s="14">
        <v>2597</v>
      </c>
      <c r="W10" s="14">
        <v>1583</v>
      </c>
    </row>
    <row r="11" spans="1:23" x14ac:dyDescent="0.3">
      <c r="A11" s="13">
        <v>46194.524305555555</v>
      </c>
      <c r="B11" s="13">
        <v>46195.232638888891</v>
      </c>
      <c r="C11" s="14">
        <v>17</v>
      </c>
      <c r="D11" s="14" t="s">
        <v>55</v>
      </c>
      <c r="E11" s="14">
        <v>2006</v>
      </c>
      <c r="F11" s="14">
        <v>4390</v>
      </c>
      <c r="G11" s="14">
        <v>6974</v>
      </c>
      <c r="H11" s="14">
        <v>9581</v>
      </c>
      <c r="I11" s="14">
        <v>7129</v>
      </c>
      <c r="J11" s="14">
        <v>9761</v>
      </c>
      <c r="K11" s="14">
        <v>903</v>
      </c>
      <c r="L11" s="14">
        <v>903</v>
      </c>
      <c r="M11" s="14">
        <v>115</v>
      </c>
      <c r="N11" s="14">
        <v>121</v>
      </c>
      <c r="O11" s="14">
        <v>26.4</v>
      </c>
      <c r="P11" s="14">
        <v>2275</v>
      </c>
      <c r="Q11" s="14">
        <v>9884</v>
      </c>
      <c r="R11" s="14">
        <v>10172</v>
      </c>
      <c r="S11" s="14">
        <v>17.420000000000002</v>
      </c>
      <c r="T11" s="14">
        <v>0.33</v>
      </c>
      <c r="U11" s="14">
        <v>2.52</v>
      </c>
      <c r="V11" s="14">
        <v>3992</v>
      </c>
      <c r="W11" s="14">
        <v>2416</v>
      </c>
    </row>
    <row r="12" spans="1:23" x14ac:dyDescent="0.3">
      <c r="A12" s="13">
        <v>46197.181944444441</v>
      </c>
      <c r="B12" s="13">
        <v>46197.612500000003</v>
      </c>
      <c r="C12" s="14">
        <v>10.3</v>
      </c>
      <c r="D12" s="14" t="s">
        <v>55</v>
      </c>
      <c r="E12" s="14">
        <v>2077</v>
      </c>
      <c r="F12" s="14">
        <v>4529</v>
      </c>
      <c r="G12" s="14">
        <v>7089</v>
      </c>
      <c r="H12" s="14">
        <v>9746</v>
      </c>
      <c r="I12" s="14">
        <v>7245</v>
      </c>
      <c r="J12" s="14">
        <v>9942</v>
      </c>
      <c r="K12" s="14">
        <v>840</v>
      </c>
      <c r="L12" s="14">
        <v>840</v>
      </c>
      <c r="M12" s="14">
        <v>107</v>
      </c>
      <c r="N12" s="14">
        <v>114</v>
      </c>
      <c r="O12" s="14">
        <v>25.3</v>
      </c>
      <c r="P12" s="14">
        <v>2182</v>
      </c>
      <c r="Q12" s="14">
        <v>9905</v>
      </c>
      <c r="R12" s="14">
        <v>10201</v>
      </c>
      <c r="S12" s="14">
        <v>17.97</v>
      </c>
      <c r="T12" s="14">
        <v>0.32</v>
      </c>
      <c r="U12" s="14">
        <v>2.6</v>
      </c>
      <c r="V12" s="14">
        <v>3750</v>
      </c>
      <c r="W12" s="14">
        <v>2309</v>
      </c>
    </row>
    <row r="13" spans="1:23" x14ac:dyDescent="0.3">
      <c r="A13" s="13">
        <v>46209.492361111108</v>
      </c>
      <c r="B13" s="13">
        <v>46209.706250000003</v>
      </c>
      <c r="C13" s="14">
        <v>5.0999999999999996</v>
      </c>
      <c r="D13" s="14" t="s">
        <v>55</v>
      </c>
      <c r="E13" s="14">
        <v>2126</v>
      </c>
      <c r="F13" s="14">
        <v>4470</v>
      </c>
      <c r="G13" s="14">
        <v>6997</v>
      </c>
      <c r="H13" s="14">
        <v>9577</v>
      </c>
      <c r="I13" s="14">
        <v>7148</v>
      </c>
      <c r="J13" s="14">
        <v>9773</v>
      </c>
      <c r="K13" s="14">
        <v>976</v>
      </c>
      <c r="L13" s="14">
        <v>976</v>
      </c>
      <c r="M13" s="14">
        <v>83.5</v>
      </c>
      <c r="N13" s="14">
        <v>86.2</v>
      </c>
      <c r="O13" s="14">
        <v>15.1</v>
      </c>
      <c r="P13" s="14">
        <v>1924</v>
      </c>
      <c r="Q13" s="14">
        <v>9757</v>
      </c>
      <c r="R13" s="14">
        <v>10192</v>
      </c>
      <c r="S13" s="14">
        <v>26.24</v>
      </c>
      <c r="T13" s="14">
        <v>0.37</v>
      </c>
      <c r="U13" s="14">
        <v>1.97</v>
      </c>
      <c r="V13" s="14">
        <v>2845</v>
      </c>
      <c r="W13" s="14">
        <v>1643</v>
      </c>
    </row>
    <row r="14" spans="1:23" x14ac:dyDescent="0.3">
      <c r="A14" s="13">
        <v>46210.356249999997</v>
      </c>
      <c r="B14" s="13">
        <v>46219.395833333336</v>
      </c>
      <c r="C14" s="14">
        <v>217</v>
      </c>
      <c r="D14" s="14" t="s">
        <v>55</v>
      </c>
      <c r="E14" s="14">
        <v>1984</v>
      </c>
      <c r="F14" s="14">
        <v>4920</v>
      </c>
      <c r="G14" s="14">
        <v>7135</v>
      </c>
      <c r="H14" s="14">
        <v>9811</v>
      </c>
      <c r="I14" s="14">
        <v>7295</v>
      </c>
      <c r="J14" s="14">
        <v>9962</v>
      </c>
      <c r="K14" s="14">
        <v>723</v>
      </c>
      <c r="L14" s="14">
        <v>723</v>
      </c>
      <c r="M14" s="14">
        <v>87.7</v>
      </c>
      <c r="N14" s="14">
        <v>96.4</v>
      </c>
      <c r="O14" s="14">
        <v>22.7</v>
      </c>
      <c r="P14" s="14">
        <v>2046</v>
      </c>
      <c r="Q14" s="14">
        <v>9837</v>
      </c>
      <c r="R14" s="14">
        <v>10442</v>
      </c>
      <c r="S14" s="14">
        <v>19.510000000000002</v>
      </c>
      <c r="T14" s="14">
        <v>0.28000000000000003</v>
      </c>
      <c r="U14" s="14">
        <v>2.83</v>
      </c>
      <c r="V14" s="14">
        <v>3180</v>
      </c>
      <c r="W14" s="14">
        <v>2102</v>
      </c>
    </row>
    <row r="15" spans="1:23" x14ac:dyDescent="0.3">
      <c r="A15" s="13">
        <v>46064.645833333336</v>
      </c>
      <c r="B15" s="13">
        <v>46073.575694444444</v>
      </c>
      <c r="C15" s="14">
        <v>214.3</v>
      </c>
      <c r="D15" s="14" t="s">
        <v>55</v>
      </c>
      <c r="E15" s="14">
        <v>3810</v>
      </c>
      <c r="F15" s="14">
        <v>5554</v>
      </c>
      <c r="G15" s="14">
        <v>8960</v>
      </c>
      <c r="H15" s="14">
        <v>10690</v>
      </c>
      <c r="I15" s="14">
        <v>9119</v>
      </c>
      <c r="J15" s="14">
        <v>10955</v>
      </c>
      <c r="K15" s="14">
        <v>1351</v>
      </c>
      <c r="L15" s="14">
        <v>1351</v>
      </c>
      <c r="M15" s="14">
        <v>154</v>
      </c>
      <c r="N15" s="14">
        <v>157</v>
      </c>
      <c r="O15" s="14">
        <v>9.9</v>
      </c>
      <c r="P15" s="14">
        <v>991</v>
      </c>
      <c r="Q15" s="14">
        <v>10675</v>
      </c>
      <c r="R15" s="14">
        <v>11029</v>
      </c>
      <c r="S15" s="14">
        <v>36.270000000000003</v>
      </c>
      <c r="T15" s="14">
        <v>0.87</v>
      </c>
      <c r="U15" s="14">
        <v>0.73</v>
      </c>
      <c r="V15" s="14">
        <v>5187</v>
      </c>
      <c r="W15" s="14">
        <v>2761</v>
      </c>
    </row>
    <row r="16" spans="1:23" x14ac:dyDescent="0.3">
      <c r="A16" s="13">
        <v>46082.238194444442</v>
      </c>
      <c r="B16" s="13">
        <v>46082.714583333334</v>
      </c>
      <c r="C16" s="14">
        <v>11.4</v>
      </c>
      <c r="D16" s="14" t="s">
        <v>55</v>
      </c>
      <c r="E16" s="14">
        <v>2980</v>
      </c>
      <c r="F16" s="14">
        <v>5079</v>
      </c>
      <c r="G16" s="14">
        <v>7833</v>
      </c>
      <c r="H16" s="14">
        <v>10048</v>
      </c>
      <c r="I16" s="14">
        <v>7985</v>
      </c>
      <c r="J16" s="14">
        <v>10122</v>
      </c>
      <c r="K16" s="14">
        <v>1633</v>
      </c>
      <c r="L16" s="14">
        <v>1633</v>
      </c>
      <c r="M16" s="14">
        <v>111</v>
      </c>
      <c r="N16" s="14">
        <v>115</v>
      </c>
      <c r="O16" s="14">
        <v>8</v>
      </c>
      <c r="P16" s="14">
        <v>1309</v>
      </c>
      <c r="Q16" s="14">
        <v>10204</v>
      </c>
      <c r="R16" s="14">
        <v>10778</v>
      </c>
      <c r="S16" s="14">
        <v>41.03</v>
      </c>
      <c r="T16" s="14">
        <v>0.74</v>
      </c>
      <c r="U16" s="14">
        <v>0.8</v>
      </c>
      <c r="V16" s="14">
        <v>3805</v>
      </c>
      <c r="W16" s="14">
        <v>2199</v>
      </c>
    </row>
    <row r="17" spans="1:23" x14ac:dyDescent="0.3">
      <c r="A17" s="13">
        <v>46085.199305555558</v>
      </c>
      <c r="B17" s="13">
        <v>46086.396527777775</v>
      </c>
      <c r="C17" s="14">
        <v>28.7</v>
      </c>
      <c r="D17" s="14" t="s">
        <v>55</v>
      </c>
      <c r="E17" s="14">
        <v>2835</v>
      </c>
      <c r="F17" s="14">
        <v>47</v>
      </c>
      <c r="G17" s="14">
        <v>7694</v>
      </c>
      <c r="H17" s="14">
        <v>10168</v>
      </c>
      <c r="I17" s="14">
        <v>7847</v>
      </c>
      <c r="J17" s="14">
        <v>10361</v>
      </c>
      <c r="K17" s="14">
        <v>1446</v>
      </c>
      <c r="L17" s="14">
        <v>1446</v>
      </c>
      <c r="M17" s="14">
        <v>109</v>
      </c>
      <c r="N17" s="14">
        <v>114</v>
      </c>
      <c r="O17" s="14">
        <v>10.4</v>
      </c>
      <c r="P17" s="14">
        <v>1534</v>
      </c>
      <c r="Q17" s="14">
        <v>10197</v>
      </c>
      <c r="R17" s="14">
        <v>10800</v>
      </c>
      <c r="S17" s="14">
        <v>34.729999999999997</v>
      </c>
      <c r="T17" s="14">
        <v>0.62</v>
      </c>
      <c r="U17" s="14">
        <v>1.06</v>
      </c>
      <c r="V17" s="14">
        <v>3775</v>
      </c>
      <c r="W17" s="14">
        <v>2209</v>
      </c>
    </row>
    <row r="18" spans="1:23" x14ac:dyDescent="0.3">
      <c r="A18" s="13">
        <v>46141.957754629628</v>
      </c>
      <c r="B18" s="13">
        <v>46142.471875000003</v>
      </c>
      <c r="C18" s="14">
        <v>12.3</v>
      </c>
      <c r="D18" s="14" t="s">
        <v>55</v>
      </c>
      <c r="E18" s="14">
        <v>2485</v>
      </c>
      <c r="F18" s="14">
        <v>4607</v>
      </c>
      <c r="G18" s="14">
        <v>7337</v>
      </c>
      <c r="H18" s="14">
        <v>9635</v>
      </c>
      <c r="I18" s="14">
        <v>7496</v>
      </c>
      <c r="J18" s="14">
        <v>9829</v>
      </c>
      <c r="K18" s="14">
        <v>983</v>
      </c>
      <c r="L18" s="14">
        <v>983</v>
      </c>
      <c r="M18" s="14">
        <v>75.400000000000006</v>
      </c>
      <c r="N18" s="14">
        <v>79.599999999999994</v>
      </c>
      <c r="O18" s="14">
        <v>10.1</v>
      </c>
      <c r="P18" s="14">
        <v>1434</v>
      </c>
      <c r="Q18" s="14">
        <v>9691</v>
      </c>
      <c r="R18" s="14">
        <v>10210</v>
      </c>
      <c r="S18" s="14">
        <v>34.67</v>
      </c>
      <c r="T18" s="14">
        <v>0.45</v>
      </c>
      <c r="U18" s="14">
        <v>1.46</v>
      </c>
      <c r="V18" s="14">
        <v>2628</v>
      </c>
      <c r="W18" s="14">
        <v>1609</v>
      </c>
    </row>
    <row r="19" spans="1:23" x14ac:dyDescent="0.3">
      <c r="A19" s="13">
        <v>46155.148726851854</v>
      </c>
      <c r="B19" s="13">
        <v>46155.444097222222</v>
      </c>
      <c r="C19" s="14">
        <v>7.1</v>
      </c>
      <c r="D19" s="14" t="s">
        <v>55</v>
      </c>
      <c r="E19" s="14">
        <v>2341</v>
      </c>
      <c r="F19" s="14">
        <v>4616</v>
      </c>
      <c r="G19" s="14">
        <v>7230</v>
      </c>
      <c r="H19" s="14">
        <v>9660</v>
      </c>
      <c r="I19" s="14">
        <v>7389</v>
      </c>
      <c r="J19" s="14">
        <v>9854</v>
      </c>
      <c r="K19" s="14">
        <v>957</v>
      </c>
      <c r="L19" s="14">
        <v>957</v>
      </c>
      <c r="M19" s="14">
        <v>79.900000000000006</v>
      </c>
      <c r="N19" s="14">
        <v>84.6</v>
      </c>
      <c r="O19" s="14">
        <v>12.6</v>
      </c>
      <c r="P19" s="14">
        <v>1644</v>
      </c>
      <c r="Q19" s="14">
        <v>9737</v>
      </c>
      <c r="R19" s="14">
        <v>10207</v>
      </c>
      <c r="S19" s="14">
        <v>29.97</v>
      </c>
      <c r="T19" s="14">
        <v>0.41</v>
      </c>
      <c r="U19" s="14">
        <v>1.72</v>
      </c>
      <c r="V19" s="14">
        <v>2790</v>
      </c>
      <c r="W19" s="14">
        <v>1710</v>
      </c>
    </row>
    <row r="20" spans="1:23" x14ac:dyDescent="0.3">
      <c r="A20" s="13">
        <v>46156.511111111111</v>
      </c>
      <c r="B20" s="13">
        <v>46157.045370370368</v>
      </c>
      <c r="C20" s="14">
        <v>12.8</v>
      </c>
      <c r="D20" s="14" t="s">
        <v>55</v>
      </c>
      <c r="E20" s="14">
        <v>2275</v>
      </c>
      <c r="F20" s="14">
        <v>4543</v>
      </c>
      <c r="G20" s="14">
        <v>7203</v>
      </c>
      <c r="H20" s="14">
        <v>9725</v>
      </c>
      <c r="I20" s="14">
        <v>7361</v>
      </c>
      <c r="J20" s="14">
        <v>9919</v>
      </c>
      <c r="K20" s="14">
        <v>982</v>
      </c>
      <c r="L20" s="14">
        <v>982</v>
      </c>
      <c r="M20" s="14">
        <v>95.3</v>
      </c>
      <c r="N20" s="14">
        <v>100</v>
      </c>
      <c r="O20" s="14">
        <v>16.2</v>
      </c>
      <c r="P20" s="14">
        <v>1825</v>
      </c>
      <c r="Q20" s="14">
        <v>9802</v>
      </c>
      <c r="R20" s="14">
        <v>10206</v>
      </c>
      <c r="S20" s="14">
        <v>25.23</v>
      </c>
      <c r="T20" s="14">
        <v>0.4</v>
      </c>
      <c r="U20" s="14">
        <v>1.86</v>
      </c>
      <c r="V20" s="14">
        <v>3310</v>
      </c>
      <c r="W20" s="14">
        <v>1996</v>
      </c>
    </row>
    <row r="21" spans="1:23" x14ac:dyDescent="0.3">
      <c r="A21" s="13">
        <v>46177.157407407409</v>
      </c>
      <c r="B21" s="13">
        <v>46177.511342592596</v>
      </c>
      <c r="C21" s="14">
        <v>8.5</v>
      </c>
      <c r="D21" s="14" t="s">
        <v>55</v>
      </c>
      <c r="E21" s="14">
        <v>2254</v>
      </c>
      <c r="F21" s="14">
        <v>4587</v>
      </c>
      <c r="G21" s="14">
        <v>7138</v>
      </c>
      <c r="H21" s="14">
        <v>9627</v>
      </c>
      <c r="I21" s="14">
        <v>7292</v>
      </c>
      <c r="J21" s="14">
        <v>9824</v>
      </c>
      <c r="K21" s="14">
        <v>908</v>
      </c>
      <c r="L21" s="14">
        <v>908</v>
      </c>
      <c r="M21" s="14">
        <v>72.3</v>
      </c>
      <c r="N21" s="14">
        <v>76.099999999999994</v>
      </c>
      <c r="O21" s="14">
        <v>12.3</v>
      </c>
      <c r="P21" s="14">
        <v>1668</v>
      </c>
      <c r="Q21" s="14">
        <v>9688</v>
      </c>
      <c r="R21" s="14">
        <v>10128</v>
      </c>
      <c r="S21" s="14">
        <v>30.38</v>
      </c>
      <c r="T21" s="14">
        <v>0.38</v>
      </c>
      <c r="U21" s="14">
        <v>1.84</v>
      </c>
      <c r="V21" s="14">
        <v>2512</v>
      </c>
      <c r="W21" s="14">
        <v>1524</v>
      </c>
    </row>
    <row r="22" spans="1:23" x14ac:dyDescent="0.3">
      <c r="A22" s="13">
        <v>46185.43472222222</v>
      </c>
      <c r="B22" s="13">
        <v>46185.669444444444</v>
      </c>
      <c r="C22" s="14">
        <v>5.6</v>
      </c>
      <c r="D22" s="14" t="s">
        <v>55</v>
      </c>
      <c r="E22" s="14">
        <v>2179</v>
      </c>
      <c r="F22" s="14">
        <v>4575</v>
      </c>
      <c r="G22" s="14">
        <v>7131</v>
      </c>
      <c r="H22" s="14">
        <v>9711</v>
      </c>
      <c r="I22" s="14">
        <v>7285</v>
      </c>
      <c r="J22" s="14">
        <v>9907</v>
      </c>
      <c r="K22" s="14">
        <v>897</v>
      </c>
      <c r="L22" s="14">
        <v>897</v>
      </c>
      <c r="M22" s="14">
        <v>87.3</v>
      </c>
      <c r="N22" s="14">
        <v>91.6</v>
      </c>
      <c r="O22" s="14">
        <v>17.100000000000001</v>
      </c>
      <c r="P22" s="14">
        <v>1916</v>
      </c>
      <c r="Q22" s="14">
        <v>9810</v>
      </c>
      <c r="R22" s="14">
        <v>10204</v>
      </c>
      <c r="S22" s="14">
        <v>24.12</v>
      </c>
      <c r="T22" s="14">
        <v>0.36</v>
      </c>
      <c r="U22" s="14">
        <v>2.14</v>
      </c>
      <c r="V22" s="14">
        <v>3021</v>
      </c>
      <c r="W22" s="14">
        <v>1809</v>
      </c>
    </row>
    <row r="23" spans="1:23" x14ac:dyDescent="0.3">
      <c r="A23" s="13">
        <v>46192.406944444447</v>
      </c>
      <c r="B23" s="13">
        <v>46193.021527777775</v>
      </c>
      <c r="C23" s="14">
        <v>14.8</v>
      </c>
      <c r="D23" s="14" t="s">
        <v>55</v>
      </c>
      <c r="E23" s="14">
        <v>2506</v>
      </c>
      <c r="F23" s="14">
        <v>4542</v>
      </c>
      <c r="G23" s="14">
        <v>7516</v>
      </c>
      <c r="H23" s="14">
        <v>9646</v>
      </c>
      <c r="I23" s="14">
        <v>7672</v>
      </c>
      <c r="J23" s="14">
        <v>9843</v>
      </c>
      <c r="K23" s="14">
        <v>744</v>
      </c>
      <c r="L23" s="14">
        <v>744</v>
      </c>
      <c r="M23" s="14">
        <v>74.400000000000006</v>
      </c>
      <c r="N23" s="14">
        <v>78.7</v>
      </c>
      <c r="O23" s="14">
        <v>14.2</v>
      </c>
      <c r="P23" s="14">
        <v>1546</v>
      </c>
      <c r="Q23" s="14">
        <v>9803</v>
      </c>
      <c r="R23" s="14">
        <v>10197</v>
      </c>
      <c r="S23" s="14">
        <v>27.47</v>
      </c>
      <c r="T23" s="14">
        <v>0.35</v>
      </c>
      <c r="U23" s="14">
        <v>2.08</v>
      </c>
      <c r="V23" s="14">
        <v>2596</v>
      </c>
      <c r="W23" s="14">
        <v>1583</v>
      </c>
    </row>
    <row r="24" spans="1:23" x14ac:dyDescent="0.3">
      <c r="A24" s="13">
        <v>46194.524305555555</v>
      </c>
      <c r="B24" s="13">
        <v>46195.232638888891</v>
      </c>
      <c r="C24" s="14">
        <v>17</v>
      </c>
      <c r="D24" s="14" t="s">
        <v>55</v>
      </c>
      <c r="E24" s="14">
        <v>2006</v>
      </c>
      <c r="F24" s="14">
        <v>4390</v>
      </c>
      <c r="G24" s="14">
        <v>6974</v>
      </c>
      <c r="H24" s="14">
        <v>9581</v>
      </c>
      <c r="I24" s="14">
        <v>7129</v>
      </c>
      <c r="J24" s="14">
        <v>9761</v>
      </c>
      <c r="K24" s="14">
        <v>903</v>
      </c>
      <c r="L24" s="14">
        <v>903</v>
      </c>
      <c r="M24" s="14">
        <v>115</v>
      </c>
      <c r="N24" s="14">
        <v>121</v>
      </c>
      <c r="O24" s="14">
        <v>26.4</v>
      </c>
      <c r="P24" s="14">
        <v>2275</v>
      </c>
      <c r="Q24" s="14">
        <v>9884</v>
      </c>
      <c r="R24" s="14">
        <v>10179</v>
      </c>
      <c r="S24" s="14">
        <v>17.420000000000002</v>
      </c>
      <c r="T24" s="14">
        <v>0.33</v>
      </c>
      <c r="U24" s="14">
        <v>2.52</v>
      </c>
      <c r="V24" s="14">
        <v>3992</v>
      </c>
      <c r="W24" s="14">
        <v>2415</v>
      </c>
    </row>
    <row r="25" spans="1:23" x14ac:dyDescent="0.3">
      <c r="A25" s="13">
        <v>46197.181944444441</v>
      </c>
      <c r="B25" s="13">
        <v>46197.612500000003</v>
      </c>
      <c r="C25" s="14">
        <v>10.3</v>
      </c>
      <c r="D25" s="14" t="s">
        <v>55</v>
      </c>
      <c r="E25" s="14">
        <v>2077</v>
      </c>
      <c r="F25" s="14">
        <v>4529</v>
      </c>
      <c r="G25" s="14">
        <v>7089</v>
      </c>
      <c r="H25" s="14">
        <v>9746</v>
      </c>
      <c r="I25" s="14">
        <v>7245</v>
      </c>
      <c r="J25" s="14">
        <v>9942</v>
      </c>
      <c r="K25" s="14">
        <v>840</v>
      </c>
      <c r="L25" s="14">
        <v>840</v>
      </c>
      <c r="M25" s="14">
        <v>107</v>
      </c>
      <c r="N25" s="14">
        <v>114</v>
      </c>
      <c r="O25" s="14">
        <v>25.3</v>
      </c>
      <c r="P25" s="14">
        <v>2182</v>
      </c>
      <c r="Q25" s="14">
        <v>9905</v>
      </c>
      <c r="R25" s="14">
        <v>10200</v>
      </c>
      <c r="S25" s="14">
        <v>17.97</v>
      </c>
      <c r="T25" s="14">
        <v>0.32</v>
      </c>
      <c r="U25" s="14">
        <v>2.6</v>
      </c>
      <c r="V25" s="14">
        <v>3749</v>
      </c>
      <c r="W25" s="14">
        <v>2309</v>
      </c>
    </row>
    <row r="26" spans="1:23" x14ac:dyDescent="0.3">
      <c r="A26" s="13">
        <v>46209.492361111108</v>
      </c>
      <c r="B26" s="13">
        <v>46209.706250000003</v>
      </c>
      <c r="C26" s="14">
        <v>5.0999999999999996</v>
      </c>
      <c r="D26" s="14" t="s">
        <v>55</v>
      </c>
      <c r="E26" s="14">
        <v>2126</v>
      </c>
      <c r="F26" s="14">
        <v>4470</v>
      </c>
      <c r="G26" s="14">
        <v>6997</v>
      </c>
      <c r="H26" s="14">
        <v>9577</v>
      </c>
      <c r="I26" s="14">
        <v>7148</v>
      </c>
      <c r="J26" s="14">
        <v>9773</v>
      </c>
      <c r="K26" s="14">
        <v>976</v>
      </c>
      <c r="L26" s="14">
        <v>976</v>
      </c>
      <c r="M26" s="14">
        <v>84</v>
      </c>
      <c r="N26" s="14">
        <v>86.7</v>
      </c>
      <c r="O26" s="14">
        <v>15.3</v>
      </c>
      <c r="P26" s="14">
        <v>1928</v>
      </c>
      <c r="Q26" s="14">
        <v>9757</v>
      </c>
      <c r="R26" s="14">
        <v>10086</v>
      </c>
      <c r="S26" s="14">
        <v>26.09</v>
      </c>
      <c r="T26" s="14">
        <v>0.37</v>
      </c>
      <c r="U26" s="14">
        <v>1.98</v>
      </c>
      <c r="V26" s="14">
        <v>2862</v>
      </c>
      <c r="W26" s="14">
        <v>1653</v>
      </c>
    </row>
    <row r="27" spans="1:23" x14ac:dyDescent="0.3">
      <c r="A27" s="13">
        <v>46210.356249999997</v>
      </c>
      <c r="B27" s="13">
        <v>46219.395833333336</v>
      </c>
      <c r="C27" s="14">
        <v>217</v>
      </c>
      <c r="D27" s="14" t="s">
        <v>55</v>
      </c>
      <c r="E27" s="14">
        <v>1984</v>
      </c>
      <c r="F27" s="14">
        <v>4920</v>
      </c>
      <c r="G27" s="14">
        <v>7135</v>
      </c>
      <c r="H27" s="14">
        <v>9811</v>
      </c>
      <c r="I27" s="14">
        <v>7295</v>
      </c>
      <c r="J27" s="14">
        <v>9962</v>
      </c>
      <c r="K27" s="14">
        <v>723</v>
      </c>
      <c r="L27" s="14">
        <v>723</v>
      </c>
      <c r="M27" s="14">
        <v>88.4</v>
      </c>
      <c r="N27" s="14">
        <v>97.1</v>
      </c>
      <c r="O27" s="14">
        <v>22.9</v>
      </c>
      <c r="P27" s="14">
        <v>2050</v>
      </c>
      <c r="Q27" s="14">
        <v>9837</v>
      </c>
      <c r="R27" s="14">
        <v>10446</v>
      </c>
      <c r="S27" s="14">
        <v>19.37</v>
      </c>
      <c r="T27" s="14">
        <v>0.28000000000000003</v>
      </c>
      <c r="U27" s="14">
        <v>2.83</v>
      </c>
      <c r="V27" s="14">
        <v>3205</v>
      </c>
      <c r="W27" s="14">
        <v>2118</v>
      </c>
    </row>
    <row r="28" spans="1:23" x14ac:dyDescent="0.3">
      <c r="A28" s="13">
        <v>46251.981249999997</v>
      </c>
      <c r="B28" s="13">
        <v>46252.270138888889</v>
      </c>
      <c r="C28" s="14">
        <v>6.9</v>
      </c>
      <c r="D28" s="14" t="s">
        <v>55</v>
      </c>
      <c r="E28" s="14">
        <v>1836</v>
      </c>
      <c r="F28" s="14">
        <v>4336</v>
      </c>
      <c r="G28" s="14">
        <v>6711</v>
      </c>
      <c r="H28" s="14">
        <v>9692</v>
      </c>
      <c r="I28" s="14">
        <v>6868</v>
      </c>
      <c r="J28" s="14">
        <v>9889</v>
      </c>
      <c r="K28" s="14">
        <v>707</v>
      </c>
      <c r="L28" s="14">
        <v>707</v>
      </c>
      <c r="M28" s="14">
        <v>77.900000000000006</v>
      </c>
      <c r="N28" s="14">
        <v>83.9</v>
      </c>
      <c r="O28" s="14">
        <v>24.4</v>
      </c>
      <c r="P28" s="14">
        <v>2418</v>
      </c>
      <c r="Q28" s="14">
        <v>9822</v>
      </c>
      <c r="R28" s="14">
        <v>9968</v>
      </c>
      <c r="S28" s="14">
        <v>18.149999999999999</v>
      </c>
      <c r="T28" s="14">
        <v>0.24</v>
      </c>
      <c r="U28" s="14">
        <v>3.42</v>
      </c>
      <c r="V28" s="14">
        <v>2769</v>
      </c>
      <c r="W28" s="14">
        <v>1759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45957-36EC-4E57-B84E-45135FEB24AC}">
  <dimension ref="A1:N54"/>
  <sheetViews>
    <sheetView workbookViewId="0">
      <selection activeCell="N17" sqref="N5:N17"/>
    </sheetView>
  </sheetViews>
  <sheetFormatPr defaultRowHeight="14.4" x14ac:dyDescent="0.3"/>
  <cols>
    <col min="3" max="3" width="14.6640625" bestFit="1" customWidth="1"/>
    <col min="11" max="12" width="9.5546875" bestFit="1" customWidth="1"/>
    <col min="14" max="14" width="12" bestFit="1" customWidth="1"/>
  </cols>
  <sheetData>
    <row r="1" spans="1:14" x14ac:dyDescent="0.3">
      <c r="K1" t="s">
        <v>59</v>
      </c>
      <c r="M1" t="s">
        <v>60</v>
      </c>
    </row>
    <row r="2" spans="1:14" x14ac:dyDescent="0.3">
      <c r="C2" s="15"/>
      <c r="J2" s="16"/>
      <c r="K2" t="s">
        <v>61</v>
      </c>
      <c r="L2" s="16" t="s">
        <v>62</v>
      </c>
      <c r="M2" t="s">
        <v>61</v>
      </c>
      <c r="N2" t="s">
        <v>62</v>
      </c>
    </row>
    <row r="3" spans="1:14" x14ac:dyDescent="0.3">
      <c r="A3" t="s">
        <v>63</v>
      </c>
      <c r="B3" s="15" t="s">
        <v>64</v>
      </c>
      <c r="C3" s="15" t="s">
        <v>65</v>
      </c>
      <c r="D3" t="s">
        <v>66</v>
      </c>
      <c r="E3" t="s">
        <v>67</v>
      </c>
      <c r="F3" t="s">
        <v>68</v>
      </c>
      <c r="G3" t="s">
        <v>69</v>
      </c>
      <c r="H3" t="s">
        <v>70</v>
      </c>
      <c r="I3" t="s">
        <v>71</v>
      </c>
      <c r="J3" s="16" t="s">
        <v>72</v>
      </c>
      <c r="K3" t="s">
        <v>73</v>
      </c>
      <c r="L3" t="s">
        <v>74</v>
      </c>
      <c r="M3" t="s">
        <v>75</v>
      </c>
      <c r="N3" t="s">
        <v>76</v>
      </c>
    </row>
    <row r="4" spans="1:14" x14ac:dyDescent="0.3">
      <c r="A4" t="s">
        <v>77</v>
      </c>
      <c r="B4" s="15" t="s">
        <v>77</v>
      </c>
      <c r="C4" s="15" t="s">
        <v>78</v>
      </c>
      <c r="D4" t="s">
        <v>79</v>
      </c>
      <c r="E4" t="s">
        <v>80</v>
      </c>
      <c r="F4" t="s">
        <v>28</v>
      </c>
      <c r="G4" t="s">
        <v>81</v>
      </c>
      <c r="H4" t="s">
        <v>82</v>
      </c>
      <c r="I4" t="s">
        <v>82</v>
      </c>
      <c r="J4" s="16" t="s">
        <v>83</v>
      </c>
      <c r="K4" s="17" t="s">
        <v>83</v>
      </c>
      <c r="L4" s="17" t="s">
        <v>83</v>
      </c>
      <c r="M4" s="17" t="s">
        <v>83</v>
      </c>
      <c r="N4" s="17" t="s">
        <v>83</v>
      </c>
    </row>
    <row r="5" spans="1:14" x14ac:dyDescent="0.3">
      <c r="A5" t="s">
        <v>84</v>
      </c>
      <c r="C5" s="2">
        <v>46063.17423611111</v>
      </c>
      <c r="D5">
        <v>21.84</v>
      </c>
      <c r="E5" s="18" t="s">
        <v>85</v>
      </c>
      <c r="F5">
        <v>1340</v>
      </c>
      <c r="G5">
        <v>11007</v>
      </c>
      <c r="H5" s="19">
        <v>5.3832101591728545E-6</v>
      </c>
      <c r="I5" s="19">
        <v>1.9668247111420999E-5</v>
      </c>
      <c r="J5">
        <v>8.6440000000000006E-3</v>
      </c>
      <c r="K5" s="18">
        <v>1.5</v>
      </c>
      <c r="L5" s="18">
        <f t="shared" ref="L5:L16" si="0">K5*0.325</f>
        <v>0.48750000000000004</v>
      </c>
      <c r="M5" s="16">
        <f>K5*1.15</f>
        <v>1.7249999999999999</v>
      </c>
      <c r="N5" s="16">
        <f t="shared" ref="N5:N16" si="1">M5*0.28</f>
        <v>0.48299999999999998</v>
      </c>
    </row>
    <row r="6" spans="1:14" x14ac:dyDescent="0.3">
      <c r="A6" t="s">
        <v>86</v>
      </c>
      <c r="C6" s="2">
        <v>46080.991076388891</v>
      </c>
      <c r="D6">
        <v>25.57</v>
      </c>
      <c r="E6" s="18" t="s">
        <v>85</v>
      </c>
      <c r="F6">
        <v>1620</v>
      </c>
      <c r="G6">
        <v>10983</v>
      </c>
      <c r="H6" s="19">
        <v>5.3928439229556913E-6</v>
      </c>
      <c r="I6" s="19">
        <v>1.9674990746068985E-5</v>
      </c>
      <c r="J6">
        <v>1.9238000000000002E-2</v>
      </c>
      <c r="K6" s="18">
        <v>1.75</v>
      </c>
      <c r="L6" s="18">
        <f t="shared" si="0"/>
        <v>0.56874999999999998</v>
      </c>
      <c r="M6" s="16">
        <f t="shared" ref="M6:M17" si="2">K6*1.15</f>
        <v>2.0124999999999997</v>
      </c>
      <c r="N6" s="16">
        <f t="shared" si="1"/>
        <v>0.5635</v>
      </c>
    </row>
    <row r="7" spans="1:14" x14ac:dyDescent="0.3">
      <c r="A7" t="s">
        <v>87</v>
      </c>
      <c r="B7" t="s">
        <v>88</v>
      </c>
      <c r="C7" s="2">
        <v>46115.518842592595</v>
      </c>
      <c r="D7">
        <v>4.6289999999999996</v>
      </c>
      <c r="E7" s="20">
        <v>1.7957999999999998E-2</v>
      </c>
      <c r="F7">
        <v>990</v>
      </c>
      <c r="G7">
        <v>10868</v>
      </c>
      <c r="H7" s="19">
        <v>5.4396973008515152E-6</v>
      </c>
      <c r="I7" s="19">
        <v>1.970778811059606E-5</v>
      </c>
      <c r="J7">
        <v>5.5649999999999998E-2</v>
      </c>
      <c r="K7" s="18">
        <v>2.8812074927656726</v>
      </c>
      <c r="L7" s="18">
        <f t="shared" si="0"/>
        <v>0.93639243514884363</v>
      </c>
      <c r="M7" s="16">
        <f t="shared" si="2"/>
        <v>3.3133886166805233</v>
      </c>
      <c r="N7" s="16">
        <f t="shared" si="1"/>
        <v>0.92774881267054665</v>
      </c>
    </row>
    <row r="8" spans="1:14" x14ac:dyDescent="0.3">
      <c r="A8" t="s">
        <v>89</v>
      </c>
      <c r="B8" t="s">
        <v>90</v>
      </c>
      <c r="C8" s="2">
        <v>46133.561631944445</v>
      </c>
      <c r="D8">
        <v>5.7060000000000004</v>
      </c>
      <c r="E8" s="18">
        <v>3.5889999999999998E-2</v>
      </c>
      <c r="F8">
        <v>1000</v>
      </c>
      <c r="G8">
        <v>10773</v>
      </c>
      <c r="H8" s="19">
        <v>5.479307489268239E-6</v>
      </c>
      <c r="I8" s="19">
        <v>1.9735515242487768E-5</v>
      </c>
      <c r="J8">
        <v>7.6189999999999994E-2</v>
      </c>
      <c r="K8" s="18">
        <v>3</v>
      </c>
      <c r="L8" s="18">
        <f t="shared" si="0"/>
        <v>0.97500000000000009</v>
      </c>
      <c r="M8" s="16">
        <f t="shared" si="2"/>
        <v>3.4499999999999997</v>
      </c>
      <c r="N8" s="16">
        <f t="shared" si="1"/>
        <v>0.96599999999999997</v>
      </c>
    </row>
    <row r="9" spans="1:14" x14ac:dyDescent="0.3">
      <c r="A9" t="s">
        <v>91</v>
      </c>
      <c r="B9" t="s">
        <v>92</v>
      </c>
      <c r="C9" s="2">
        <v>46167.178819444445</v>
      </c>
      <c r="D9">
        <v>7.2220000000000004</v>
      </c>
      <c r="E9" s="18">
        <v>2.324E-2</v>
      </c>
      <c r="F9">
        <v>932</v>
      </c>
      <c r="G9">
        <v>10632</v>
      </c>
      <c r="H9" s="19">
        <v>5.5397125284684755E-6</v>
      </c>
      <c r="I9" s="19">
        <v>1.9777798769927931E-5</v>
      </c>
      <c r="J9">
        <v>0.10365000000000001</v>
      </c>
      <c r="K9" s="18">
        <v>3.2</v>
      </c>
      <c r="L9" s="18">
        <f t="shared" si="0"/>
        <v>1.04</v>
      </c>
      <c r="M9" s="16">
        <f t="shared" si="2"/>
        <v>3.6799999999999997</v>
      </c>
      <c r="N9" s="16">
        <f t="shared" si="1"/>
        <v>1.0304</v>
      </c>
    </row>
    <row r="10" spans="1:14" x14ac:dyDescent="0.3">
      <c r="A10" t="s">
        <v>93</v>
      </c>
      <c r="B10" t="s">
        <v>94</v>
      </c>
      <c r="C10" s="2">
        <v>46243.127280092594</v>
      </c>
      <c r="D10">
        <v>4.9690000000000003</v>
      </c>
      <c r="E10" s="18">
        <v>3.6600000000000001E-2</v>
      </c>
      <c r="F10">
        <v>735</v>
      </c>
      <c r="G10">
        <v>10335</v>
      </c>
      <c r="H10" s="19">
        <v>5.6738879694443745E-6</v>
      </c>
      <c r="I10" s="19">
        <v>1.9871721578611061E-5</v>
      </c>
      <c r="J10">
        <v>0.15081</v>
      </c>
      <c r="K10" s="18">
        <v>3.54</v>
      </c>
      <c r="L10" s="18">
        <f t="shared" si="0"/>
        <v>1.1505000000000001</v>
      </c>
      <c r="M10" s="16">
        <f t="shared" si="2"/>
        <v>4.0709999999999997</v>
      </c>
      <c r="N10" s="16">
        <f t="shared" si="1"/>
        <v>1.13988</v>
      </c>
    </row>
    <row r="11" spans="1:14" x14ac:dyDescent="0.3">
      <c r="A11" t="s">
        <v>95</v>
      </c>
      <c r="C11" s="2">
        <v>46093.428402777776</v>
      </c>
      <c r="D11" s="16"/>
      <c r="E11">
        <v>3.8359999999999998E-2</v>
      </c>
      <c r="F11" s="22" t="e">
        <v>#REF!</v>
      </c>
      <c r="G11">
        <v>10457</v>
      </c>
      <c r="H11" s="19">
        <v>5.6175724188731071E-6</v>
      </c>
      <c r="I11" s="19">
        <v>1.9832300693211174E-5</v>
      </c>
      <c r="J11">
        <v>2.1508099999999999</v>
      </c>
      <c r="K11" s="18">
        <v>4</v>
      </c>
      <c r="L11" s="18">
        <f t="shared" si="0"/>
        <v>1.3</v>
      </c>
      <c r="M11" s="16">
        <f t="shared" si="2"/>
        <v>4.5999999999999996</v>
      </c>
      <c r="N11" s="16">
        <f t="shared" si="1"/>
        <v>1.288</v>
      </c>
    </row>
    <row r="12" spans="1:14" x14ac:dyDescent="0.3">
      <c r="A12" t="s">
        <v>96</v>
      </c>
      <c r="C12" s="2">
        <v>46101.53</v>
      </c>
      <c r="D12" s="16"/>
      <c r="E12">
        <v>1.4924E-2</v>
      </c>
      <c r="F12" s="22" t="e">
        <v>#REF!</v>
      </c>
      <c r="G12">
        <v>10367</v>
      </c>
      <c r="H12" s="19">
        <v>5.6589479624400542E-6</v>
      </c>
      <c r="I12" s="19">
        <v>1.9861263573708037E-5</v>
      </c>
      <c r="J12">
        <v>3.1508099999999999</v>
      </c>
      <c r="K12" s="18">
        <v>5.5</v>
      </c>
      <c r="L12" s="18">
        <f t="shared" si="0"/>
        <v>1.7875000000000001</v>
      </c>
      <c r="M12" s="16">
        <f t="shared" si="2"/>
        <v>6.3249999999999993</v>
      </c>
      <c r="N12" s="16">
        <f t="shared" si="1"/>
        <v>1.7709999999999999</v>
      </c>
    </row>
    <row r="13" spans="1:14" x14ac:dyDescent="0.3">
      <c r="A13" t="s">
        <v>97</v>
      </c>
      <c r="C13" s="2">
        <v>46106.668703703705</v>
      </c>
      <c r="D13" s="16"/>
      <c r="E13">
        <v>7.4020000000000002E-2</v>
      </c>
      <c r="F13" s="22" t="e">
        <v>#REF!</v>
      </c>
      <c r="G13">
        <v>10328</v>
      </c>
      <c r="H13" s="19">
        <v>5.6771724062387215E-6</v>
      </c>
      <c r="I13" s="19">
        <v>1.9874020684367105E-5</v>
      </c>
      <c r="J13">
        <v>4.1508099999999999</v>
      </c>
      <c r="K13" s="18">
        <v>6</v>
      </c>
      <c r="L13" s="18">
        <f t="shared" si="0"/>
        <v>1.9500000000000002</v>
      </c>
      <c r="M13" s="16">
        <f t="shared" si="2"/>
        <v>6.8999999999999995</v>
      </c>
      <c r="N13" s="16">
        <f t="shared" si="1"/>
        <v>1.9319999999999999</v>
      </c>
    </row>
    <row r="14" spans="1:14" x14ac:dyDescent="0.3">
      <c r="A14" t="s">
        <v>88</v>
      </c>
      <c r="C14" s="2">
        <v>46118.550451388888</v>
      </c>
      <c r="D14" s="16"/>
      <c r="E14">
        <v>1.2886E-2</v>
      </c>
      <c r="F14" s="22" t="e">
        <v>#REF!</v>
      </c>
      <c r="G14">
        <v>10228</v>
      </c>
      <c r="H14" s="19">
        <v>5.7247456065667185E-6</v>
      </c>
      <c r="I14" s="19">
        <v>1.9907321924596702E-5</v>
      </c>
      <c r="J14">
        <v>5.1508099999999999</v>
      </c>
      <c r="K14" s="18">
        <v>8.25</v>
      </c>
      <c r="L14" s="18">
        <f t="shared" si="0"/>
        <v>2.6812499999999999</v>
      </c>
      <c r="M14" s="16">
        <f t="shared" si="2"/>
        <v>9.4874999999999989</v>
      </c>
      <c r="N14" s="16">
        <f t="shared" si="1"/>
        <v>2.6564999999999999</v>
      </c>
    </row>
    <row r="15" spans="1:14" x14ac:dyDescent="0.3">
      <c r="A15" t="s">
        <v>98</v>
      </c>
      <c r="C15" s="2">
        <v>46125.371180555558</v>
      </c>
      <c r="D15" s="16"/>
      <c r="E15">
        <v>1.7957999999999998E-2</v>
      </c>
      <c r="F15" s="22" t="e">
        <v>#REF!</v>
      </c>
      <c r="G15">
        <v>10167</v>
      </c>
      <c r="H15" s="19">
        <v>5.7543791906410511E-6</v>
      </c>
      <c r="I15" s="19">
        <v>1.9928065433448735E-5</v>
      </c>
      <c r="J15">
        <v>6.1508099999999999</v>
      </c>
      <c r="K15" s="18">
        <v>9.36</v>
      </c>
      <c r="L15" s="18">
        <f t="shared" si="0"/>
        <v>3.0419999999999998</v>
      </c>
      <c r="M15" s="16">
        <f t="shared" si="2"/>
        <v>10.763999999999999</v>
      </c>
      <c r="N15" s="16">
        <f t="shared" si="1"/>
        <v>3.0139200000000002</v>
      </c>
    </row>
    <row r="16" spans="1:14" x14ac:dyDescent="0.3">
      <c r="A16" t="s">
        <v>99</v>
      </c>
      <c r="C16" s="2">
        <v>46131.612326388888</v>
      </c>
      <c r="D16" s="16"/>
      <c r="E16">
        <v>3.9039999999999998E-2</v>
      </c>
      <c r="F16" s="22" t="e">
        <v>#REF!</v>
      </c>
      <c r="G16">
        <v>10104</v>
      </c>
      <c r="H16" s="19">
        <v>5.7854884878310361E-6</v>
      </c>
      <c r="I16" s="19">
        <v>1.9949841941481724E-5</v>
      </c>
      <c r="J16">
        <v>7.1508099999999999</v>
      </c>
      <c r="K16" s="18">
        <v>11.525</v>
      </c>
      <c r="L16" s="18">
        <f t="shared" si="0"/>
        <v>3.7456250000000004</v>
      </c>
      <c r="M16" s="16">
        <f t="shared" si="2"/>
        <v>13.25375</v>
      </c>
      <c r="N16" s="16">
        <f t="shared" si="1"/>
        <v>3.7110500000000002</v>
      </c>
    </row>
    <row r="17" spans="1:14" x14ac:dyDescent="0.3">
      <c r="A17" t="s">
        <v>90</v>
      </c>
      <c r="C17" s="2">
        <v>46141.80296296296</v>
      </c>
      <c r="D17" s="16"/>
      <c r="E17">
        <v>2.4459999999999999E-2</v>
      </c>
      <c r="F17" s="22" t="e">
        <v>#REF!</v>
      </c>
      <c r="G17">
        <v>10029</v>
      </c>
      <c r="H17" s="19">
        <v>5.8232098343631589E-6</v>
      </c>
      <c r="I17" s="19">
        <v>1.9976246884054212E-5</v>
      </c>
      <c r="J17">
        <v>8.1508099999999999</v>
      </c>
      <c r="K17" s="18">
        <v>12</v>
      </c>
      <c r="L17" s="18">
        <f>K17*0.325</f>
        <v>3.9000000000000004</v>
      </c>
      <c r="M17" s="16">
        <f t="shared" si="2"/>
        <v>13.799999999999999</v>
      </c>
      <c r="N17" s="16">
        <f>M17*0.28</f>
        <v>3.8639999999999999</v>
      </c>
    </row>
    <row r="18" spans="1:14" x14ac:dyDescent="0.3">
      <c r="C18" s="21"/>
      <c r="D18" s="16"/>
      <c r="E18" s="18"/>
      <c r="F18" s="22"/>
      <c r="H18" s="19"/>
      <c r="I18" s="19"/>
      <c r="K18" s="18"/>
      <c r="L18" s="18"/>
      <c r="M18" s="16"/>
      <c r="N18" s="16"/>
    </row>
    <row r="19" spans="1:14" x14ac:dyDescent="0.3">
      <c r="C19" s="21"/>
      <c r="D19" s="16"/>
      <c r="E19" s="18"/>
      <c r="F19" s="22"/>
      <c r="H19" s="19"/>
      <c r="I19" s="19"/>
      <c r="K19" s="18"/>
      <c r="L19" s="18"/>
      <c r="M19" s="16"/>
      <c r="N19" s="16"/>
    </row>
    <row r="20" spans="1:14" x14ac:dyDescent="0.3">
      <c r="C20" s="21"/>
      <c r="D20" s="16"/>
      <c r="E20" s="18"/>
      <c r="F20" s="22"/>
      <c r="H20" s="19"/>
      <c r="I20" s="19"/>
      <c r="K20" s="18"/>
      <c r="L20" s="18"/>
      <c r="M20" s="16"/>
      <c r="N20" s="16"/>
    </row>
    <row r="21" spans="1:14" x14ac:dyDescent="0.3">
      <c r="C21" s="21"/>
      <c r="D21" s="16"/>
      <c r="F21" s="22"/>
      <c r="H21" s="19"/>
      <c r="I21" s="19"/>
      <c r="K21" s="18"/>
      <c r="L21" s="18"/>
      <c r="M21" s="16"/>
      <c r="N21" s="16"/>
    </row>
    <row r="22" spans="1:14" x14ac:dyDescent="0.3">
      <c r="C22" s="15"/>
      <c r="D22" s="16"/>
      <c r="H22" s="19"/>
      <c r="I22" s="19"/>
      <c r="K22" s="18"/>
      <c r="L22" s="18"/>
      <c r="M22" s="16"/>
      <c r="N22" s="16"/>
    </row>
    <row r="23" spans="1:14" x14ac:dyDescent="0.3">
      <c r="C23" s="15"/>
      <c r="D23" s="16"/>
      <c r="H23" s="19"/>
      <c r="I23" s="19"/>
      <c r="K23" s="18"/>
      <c r="L23" s="18"/>
      <c r="M23" s="16"/>
      <c r="N23" s="16"/>
    </row>
    <row r="24" spans="1:14" x14ac:dyDescent="0.3">
      <c r="C24" s="15"/>
      <c r="D24" s="16"/>
      <c r="H24" s="19"/>
      <c r="I24" s="19"/>
      <c r="K24" s="18"/>
      <c r="L24" s="18"/>
      <c r="M24" s="16"/>
      <c r="N24" s="16"/>
    </row>
    <row r="25" spans="1:14" x14ac:dyDescent="0.3">
      <c r="C25" s="15"/>
      <c r="D25" s="16"/>
      <c r="H25" s="19"/>
      <c r="I25" s="19"/>
      <c r="K25" s="18"/>
      <c r="L25" s="18"/>
      <c r="M25" s="16"/>
      <c r="N25" s="16"/>
    </row>
    <row r="26" spans="1:14" x14ac:dyDescent="0.3">
      <c r="C26" s="15"/>
      <c r="D26" s="16"/>
      <c r="H26" s="19"/>
      <c r="I26" s="19"/>
      <c r="K26" s="18"/>
      <c r="L26" s="18"/>
      <c r="M26" s="16"/>
      <c r="N26" s="16"/>
    </row>
    <row r="27" spans="1:14" x14ac:dyDescent="0.3">
      <c r="C27" s="21"/>
      <c r="D27" s="16"/>
      <c r="H27" s="19"/>
      <c r="I27" s="19"/>
      <c r="K27" s="18"/>
      <c r="L27" s="18"/>
      <c r="M27" s="16"/>
      <c r="N27" s="16"/>
    </row>
    <row r="28" spans="1:14" x14ac:dyDescent="0.3">
      <c r="C28" s="21"/>
      <c r="D28" s="16"/>
      <c r="H28" s="19"/>
      <c r="I28" s="19"/>
      <c r="K28" s="18"/>
      <c r="L28" s="18"/>
      <c r="M28" s="16"/>
      <c r="N28" s="16"/>
    </row>
    <row r="29" spans="1:14" x14ac:dyDescent="0.3">
      <c r="C29" s="21"/>
      <c r="D29" s="16"/>
      <c r="H29" s="19"/>
      <c r="I29" s="19"/>
      <c r="K29" s="18"/>
      <c r="L29" s="18"/>
      <c r="M29" s="16"/>
      <c r="N29" s="16"/>
    </row>
    <row r="30" spans="1:14" x14ac:dyDescent="0.3">
      <c r="C30" s="21"/>
      <c r="D30" s="16"/>
      <c r="H30" s="19"/>
      <c r="I30" s="19"/>
      <c r="K30" s="18"/>
      <c r="L30" s="18"/>
      <c r="M30" s="16"/>
      <c r="N30" s="16"/>
    </row>
    <row r="31" spans="1:14" x14ac:dyDescent="0.3">
      <c r="C31" s="21"/>
      <c r="D31" s="16"/>
      <c r="H31" s="19"/>
      <c r="I31" s="19"/>
      <c r="K31" s="18"/>
      <c r="L31" s="18"/>
      <c r="M31" s="16"/>
      <c r="N31" s="16"/>
    </row>
    <row r="32" spans="1:14" x14ac:dyDescent="0.3">
      <c r="C32" s="21"/>
      <c r="D32" s="16"/>
      <c r="H32" s="19"/>
      <c r="I32" s="19"/>
      <c r="K32" s="18"/>
      <c r="L32" s="18"/>
      <c r="M32" s="16"/>
      <c r="N32" s="16"/>
    </row>
    <row r="33" spans="3:14" x14ac:dyDescent="0.3">
      <c r="C33" s="21"/>
      <c r="D33" s="16"/>
      <c r="H33" s="19"/>
      <c r="I33" s="19"/>
      <c r="K33" s="18"/>
      <c r="L33" s="18"/>
      <c r="M33" s="16"/>
      <c r="N33" s="16"/>
    </row>
    <row r="34" spans="3:14" x14ac:dyDescent="0.3">
      <c r="C34" s="21"/>
      <c r="D34" s="16"/>
      <c r="H34" s="19"/>
      <c r="I34" s="19"/>
      <c r="K34" s="18"/>
      <c r="L34" s="18"/>
      <c r="M34" s="16"/>
      <c r="N34" s="16"/>
    </row>
    <row r="35" spans="3:14" x14ac:dyDescent="0.3">
      <c r="C35" s="21"/>
      <c r="D35" s="16"/>
      <c r="H35" s="19"/>
      <c r="I35" s="19"/>
      <c r="K35" s="18"/>
      <c r="L35" s="18"/>
      <c r="M35" s="16"/>
      <c r="N35" s="16"/>
    </row>
    <row r="36" spans="3:14" x14ac:dyDescent="0.3">
      <c r="C36" s="21"/>
      <c r="D36" s="16"/>
      <c r="H36" s="19"/>
      <c r="I36" s="19"/>
      <c r="K36" s="18"/>
      <c r="L36" s="18"/>
      <c r="M36" s="16"/>
      <c r="N36" s="16"/>
    </row>
    <row r="37" spans="3:14" x14ac:dyDescent="0.3">
      <c r="C37" s="21"/>
      <c r="D37" s="16"/>
      <c r="H37" s="19"/>
      <c r="I37" s="19"/>
      <c r="K37" s="18"/>
      <c r="L37" s="18"/>
      <c r="M37" s="16"/>
      <c r="N37" s="16"/>
    </row>
    <row r="38" spans="3:14" x14ac:dyDescent="0.3">
      <c r="C38" s="21"/>
      <c r="D38" s="16"/>
      <c r="H38" s="19"/>
      <c r="I38" s="19"/>
      <c r="K38" s="18"/>
      <c r="L38" s="18"/>
      <c r="M38" s="16"/>
      <c r="N38" s="16"/>
    </row>
    <row r="39" spans="3:14" x14ac:dyDescent="0.3">
      <c r="C39" s="21"/>
      <c r="D39" s="16"/>
      <c r="H39" s="19"/>
      <c r="I39" s="19"/>
      <c r="K39" s="18"/>
      <c r="L39" s="18"/>
      <c r="M39" s="16"/>
      <c r="N39" s="16"/>
    </row>
    <row r="40" spans="3:14" x14ac:dyDescent="0.3">
      <c r="C40" s="21"/>
      <c r="D40" s="16"/>
      <c r="H40" s="19"/>
      <c r="I40" s="19"/>
      <c r="K40" s="18"/>
      <c r="L40" s="18"/>
      <c r="M40" s="16"/>
      <c r="N40" s="16"/>
    </row>
    <row r="41" spans="3:14" x14ac:dyDescent="0.3">
      <c r="C41" s="21"/>
      <c r="D41" s="16"/>
      <c r="H41" s="19"/>
      <c r="I41" s="19"/>
      <c r="K41" s="18"/>
      <c r="L41" s="18"/>
      <c r="M41" s="16"/>
      <c r="N41" s="16"/>
    </row>
    <row r="42" spans="3:14" x14ac:dyDescent="0.3">
      <c r="C42" s="21"/>
      <c r="D42" s="16"/>
      <c r="H42" s="19"/>
      <c r="I42" s="19"/>
      <c r="K42" s="18"/>
      <c r="L42" s="18"/>
      <c r="M42" s="16"/>
      <c r="N42" s="16"/>
    </row>
    <row r="43" spans="3:14" x14ac:dyDescent="0.3">
      <c r="C43" s="21"/>
      <c r="D43" s="16"/>
      <c r="H43" s="19"/>
      <c r="I43" s="19"/>
      <c r="K43" s="18"/>
      <c r="L43" s="18"/>
      <c r="M43" s="16"/>
      <c r="N43" s="16"/>
    </row>
    <row r="44" spans="3:14" x14ac:dyDescent="0.3">
      <c r="C44" s="21"/>
      <c r="D44" s="16"/>
      <c r="H44" s="19"/>
      <c r="I44" s="19"/>
      <c r="K44" s="18"/>
      <c r="L44" s="18"/>
      <c r="M44" s="16"/>
      <c r="N44" s="16"/>
    </row>
    <row r="45" spans="3:14" x14ac:dyDescent="0.3">
      <c r="C45" s="21"/>
      <c r="D45" s="16"/>
      <c r="H45" s="19"/>
      <c r="I45" s="19"/>
      <c r="K45" s="18"/>
      <c r="L45" s="18"/>
      <c r="M45" s="16"/>
      <c r="N45" s="16"/>
    </row>
    <row r="46" spans="3:14" x14ac:dyDescent="0.3">
      <c r="C46" s="21"/>
      <c r="D46" s="16"/>
      <c r="H46" s="19"/>
      <c r="I46" s="19"/>
      <c r="K46" s="18"/>
      <c r="L46" s="18"/>
      <c r="M46" s="16"/>
      <c r="N46" s="16"/>
    </row>
    <row r="47" spans="3:14" x14ac:dyDescent="0.3">
      <c r="C47" s="21"/>
      <c r="D47" s="16"/>
      <c r="H47" s="19"/>
      <c r="I47" s="19"/>
      <c r="K47" s="18"/>
      <c r="L47" s="18"/>
      <c r="M47" s="16"/>
      <c r="N47" s="16"/>
    </row>
    <row r="48" spans="3:14" x14ac:dyDescent="0.3">
      <c r="C48" s="21"/>
      <c r="D48" s="16"/>
      <c r="H48" s="19"/>
      <c r="I48" s="19"/>
      <c r="K48" s="18"/>
      <c r="L48" s="18"/>
      <c r="M48" s="16"/>
      <c r="N48" s="16"/>
    </row>
    <row r="49" spans="3:14" x14ac:dyDescent="0.3">
      <c r="C49" s="21"/>
      <c r="D49" s="16"/>
      <c r="H49" s="19"/>
      <c r="I49" s="19"/>
      <c r="K49" s="18"/>
      <c r="L49" s="18"/>
      <c r="M49" s="16"/>
      <c r="N49" s="16"/>
    </row>
    <row r="50" spans="3:14" x14ac:dyDescent="0.3">
      <c r="C50" s="21"/>
      <c r="D50" s="16"/>
      <c r="H50" s="19"/>
      <c r="I50" s="19"/>
      <c r="K50" s="18"/>
      <c r="L50" s="18"/>
      <c r="M50" s="16"/>
      <c r="N50" s="16"/>
    </row>
    <row r="51" spans="3:14" x14ac:dyDescent="0.3">
      <c r="C51" s="21"/>
      <c r="D51" s="16"/>
      <c r="H51" s="19"/>
      <c r="I51" s="19"/>
      <c r="K51" s="18"/>
      <c r="L51" s="18"/>
      <c r="M51" s="16"/>
      <c r="N51" s="16"/>
    </row>
    <row r="52" spans="3:14" x14ac:dyDescent="0.3">
      <c r="H52" s="19"/>
      <c r="I52" s="19"/>
      <c r="K52" s="18"/>
      <c r="L52" s="18"/>
      <c r="M52" s="16"/>
      <c r="N52" s="16"/>
    </row>
    <row r="53" spans="3:14" x14ac:dyDescent="0.3">
      <c r="C53" s="2"/>
      <c r="E53" s="18"/>
      <c r="H53" s="19"/>
      <c r="I53" s="19"/>
      <c r="K53" s="18"/>
      <c r="L53" s="18"/>
      <c r="M53" s="16"/>
      <c r="N53" s="16"/>
    </row>
    <row r="54" spans="3:14" x14ac:dyDescent="0.3">
      <c r="C54" s="2"/>
      <c r="D54" s="18"/>
      <c r="E54" s="18"/>
      <c r="H54" s="19"/>
      <c r="I54" s="19"/>
      <c r="K54" s="18"/>
      <c r="L54" s="18"/>
      <c r="M54" s="16"/>
      <c r="N54"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EW A5 May 29-July 2026 1-min ex</vt:lpstr>
      <vt:lpstr>PTA</vt:lpstr>
      <vt:lpstr>Track 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ElTaleb</dc:creator>
  <cp:lastModifiedBy>Ibrahim ElTaleb</cp:lastModifiedBy>
  <dcterms:created xsi:type="dcterms:W3CDTF">2026-10-21T01:47:33Z</dcterms:created>
  <dcterms:modified xsi:type="dcterms:W3CDTF">2026-10-21T02:26:30Z</dcterms:modified>
</cp:coreProperties>
</file>